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har2n\Desktop\"/>
    </mc:Choice>
  </mc:AlternateContent>
  <xr:revisionPtr revIDLastSave="0" documentId="8_{547D121D-40FB-4FDD-A1B4-6E504D326DDC}" xr6:coauthVersionLast="47" xr6:coauthVersionMax="47" xr10:uidLastSave="{00000000-0000-0000-0000-000000000000}"/>
  <bookViews>
    <workbookView xWindow="-120" yWindow="-120" windowWidth="20730" windowHeight="11040" activeTab="1" xr2:uid="{68711902-DECA-411A-87EA-6227BFAF1ECA}"/>
  </bookViews>
  <sheets>
    <sheet name="Statistics 1" sheetId="2" r:id="rId1"/>
    <sheet name="Statistics 2" sheetId="1" r:id="rId2"/>
  </sheets>
  <externalReferences>
    <externalReference r:id="rId3"/>
  </externalReference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0" i="1" l="1"/>
  <c r="F10" i="1"/>
  <c r="D10" i="1"/>
  <c r="B10" i="1"/>
  <c r="H9" i="1"/>
  <c r="F9" i="1"/>
  <c r="D9" i="1"/>
  <c r="B9" i="1"/>
  <c r="H8" i="1"/>
  <c r="F8" i="1"/>
  <c r="D8" i="1"/>
  <c r="B8" i="1"/>
  <c r="H7" i="1"/>
  <c r="F7" i="1"/>
  <c r="D7" i="1"/>
  <c r="B7" i="1"/>
  <c r="H6" i="1"/>
  <c r="F6" i="1"/>
  <c r="D6" i="1"/>
  <c r="B6" i="1"/>
  <c r="H5" i="1"/>
  <c r="F5" i="1"/>
  <c r="D5" i="1"/>
  <c r="B5" i="1"/>
  <c r="H4" i="1"/>
  <c r="F4" i="1"/>
  <c r="D4" i="1"/>
  <c r="B4" i="1"/>
  <c r="H3" i="1"/>
  <c r="F3" i="1"/>
  <c r="D3" i="1"/>
  <c r="B3" i="1"/>
  <c r="H2" i="1"/>
  <c r="F2" i="1"/>
  <c r="D2" i="1"/>
  <c r="B2" i="1"/>
</calcChain>
</file>

<file path=xl/sharedStrings.xml><?xml version="1.0" encoding="utf-8"?>
<sst xmlns="http://schemas.openxmlformats.org/spreadsheetml/2006/main" count="102" uniqueCount="55">
  <si>
    <t>QUANTITY</t>
  </si>
  <si>
    <t>STATISTICS</t>
  </si>
  <si>
    <t xml:space="preserve">UNIT PRICE </t>
  </si>
  <si>
    <t>STATISTICS2</t>
  </si>
  <si>
    <t>ITEMS IN CART</t>
  </si>
  <si>
    <t>STATISTICS3</t>
  </si>
  <si>
    <t>TOTAL PRICE</t>
  </si>
  <si>
    <t>STATISTICS4</t>
  </si>
  <si>
    <t>Mean</t>
  </si>
  <si>
    <t>Median</t>
  </si>
  <si>
    <t>Mode</t>
  </si>
  <si>
    <t>Standard Deviation</t>
  </si>
  <si>
    <t>Minimum</t>
  </si>
  <si>
    <t>Maximum</t>
  </si>
  <si>
    <t>Sum</t>
  </si>
  <si>
    <t>Count</t>
  </si>
  <si>
    <t>Range</t>
  </si>
  <si>
    <t>Year</t>
  </si>
  <si>
    <t>Average Total Price</t>
  </si>
  <si>
    <t>Sum of TotalPrice</t>
  </si>
  <si>
    <t>Count of OrderID</t>
  </si>
  <si>
    <t>Average of Quantity</t>
  </si>
  <si>
    <t>2023</t>
  </si>
  <si>
    <t>2024</t>
  </si>
  <si>
    <t>2025</t>
  </si>
  <si>
    <t xml:space="preserve">Order Status </t>
  </si>
  <si>
    <t>Status</t>
  </si>
  <si>
    <t>% of</t>
  </si>
  <si>
    <t>Cancelled</t>
  </si>
  <si>
    <t>Delivered</t>
  </si>
  <si>
    <t>Pending</t>
  </si>
  <si>
    <t>Returned</t>
  </si>
  <si>
    <t>Shipped</t>
  </si>
  <si>
    <t>Payment Method</t>
  </si>
  <si>
    <t>Means of Payment</t>
  </si>
  <si>
    <t>Cash</t>
  </si>
  <si>
    <t>Credit Card</t>
  </si>
  <si>
    <t>Debit Card</t>
  </si>
  <si>
    <t>Gift Card</t>
  </si>
  <si>
    <t>Online</t>
  </si>
  <si>
    <t>Referral Source</t>
  </si>
  <si>
    <t>Referrals</t>
  </si>
  <si>
    <t>Email</t>
  </si>
  <si>
    <t>Facebook</t>
  </si>
  <si>
    <t>Google</t>
  </si>
  <si>
    <t>Instagram</t>
  </si>
  <si>
    <t>Referral</t>
  </si>
  <si>
    <t>Revenue by Product</t>
  </si>
  <si>
    <t>Chair</t>
  </si>
  <si>
    <t>Desk</t>
  </si>
  <si>
    <t>Laptop</t>
  </si>
  <si>
    <t>Monitor</t>
  </si>
  <si>
    <t>Phone</t>
  </si>
  <si>
    <t>Printer</t>
  </si>
  <si>
    <t>Tablet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</si>
</sst>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i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left"/>
    </xf>
    <xf numFmtId="10" fontId="0" fillId="0" borderId="0" xfId="0" applyNumberFormat="1"/>
  </cellXfs>
  <cellStyles count="1">
    <cellStyle name="Normal" xfId="0" builtinId="0"/>
  </cellStyles>
  <dxfs count="8">
    <dxf>
      <font>
        <i/>
        <family val="2"/>
      </font>
    </dxf>
    <dxf>
      <font>
        <i/>
        <family val="2"/>
      </font>
    </dxf>
    <dxf>
      <font>
        <i/>
        <family val="2"/>
      </font>
    </dxf>
    <dxf>
      <font>
        <i/>
        <family val="2"/>
      </font>
    </dxf>
    <dxf>
      <font>
        <i/>
        <family val="2"/>
      </font>
    </dxf>
    <dxf>
      <font>
        <i/>
        <family val="2"/>
      </font>
    </dxf>
    <dxf>
      <font>
        <i/>
        <family val="2"/>
      </font>
    </dxf>
    <dxf>
      <font>
        <i/>
        <family val="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ar2n\Documents\DATASET%20CLEANING.xlsx" TargetMode="External"/><Relationship Id="rId1" Type="http://schemas.openxmlformats.org/officeDocument/2006/relationships/externalLinkPath" Target="/Users/har2n/Documents/DATASET%20CLEAN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ble2"/>
      <sheetName val="Sheet1"/>
      <sheetName val="Detail1"/>
      <sheetName val="PIVOT SUMMARY"/>
      <sheetName val="PROJECT 1 CLEANING"/>
      <sheetName val="sheet11"/>
      <sheetName val="Sheet2"/>
      <sheetName val="Statistics"/>
    </sheetNames>
    <sheetDataSet>
      <sheetData sheetId="0"/>
      <sheetData sheetId="1"/>
      <sheetData sheetId="2"/>
      <sheetData sheetId="3"/>
      <sheetData sheetId="4"/>
      <sheetData sheetId="5">
        <row r="2">
          <cell r="E2">
            <v>5</v>
          </cell>
          <cell r="F2">
            <v>570.62</v>
          </cell>
          <cell r="K2">
            <v>7</v>
          </cell>
          <cell r="N2">
            <v>2853.1</v>
          </cell>
        </row>
        <row r="3">
          <cell r="E3">
            <v>2</v>
          </cell>
          <cell r="F3">
            <v>151.35</v>
          </cell>
          <cell r="K3">
            <v>3</v>
          </cell>
          <cell r="N3">
            <v>302.7</v>
          </cell>
        </row>
        <row r="4">
          <cell r="E4">
            <v>5</v>
          </cell>
          <cell r="F4">
            <v>550.67999999999995</v>
          </cell>
          <cell r="K4">
            <v>8</v>
          </cell>
          <cell r="N4">
            <v>2753.4</v>
          </cell>
        </row>
        <row r="5">
          <cell r="E5">
            <v>1</v>
          </cell>
          <cell r="F5">
            <v>273.19</v>
          </cell>
          <cell r="K5">
            <v>5</v>
          </cell>
          <cell r="N5">
            <v>273.19</v>
          </cell>
        </row>
        <row r="6">
          <cell r="E6">
            <v>4</v>
          </cell>
          <cell r="F6">
            <v>626.01</v>
          </cell>
          <cell r="K6">
            <v>8</v>
          </cell>
          <cell r="N6">
            <v>2504.04</v>
          </cell>
        </row>
        <row r="7">
          <cell r="E7">
            <v>2</v>
          </cell>
          <cell r="F7">
            <v>245.86</v>
          </cell>
          <cell r="K7">
            <v>4</v>
          </cell>
          <cell r="N7">
            <v>491.72</v>
          </cell>
        </row>
        <row r="8">
          <cell r="E8">
            <v>1</v>
          </cell>
          <cell r="F8">
            <v>664.42</v>
          </cell>
          <cell r="K8">
            <v>6</v>
          </cell>
          <cell r="N8">
            <v>664.42</v>
          </cell>
        </row>
        <row r="9">
          <cell r="E9">
            <v>5</v>
          </cell>
          <cell r="F9">
            <v>149.55000000000001</v>
          </cell>
          <cell r="K9">
            <v>9</v>
          </cell>
          <cell r="N9">
            <v>747.75</v>
          </cell>
        </row>
        <row r="10">
          <cell r="E10">
            <v>2</v>
          </cell>
          <cell r="F10">
            <v>134.28</v>
          </cell>
          <cell r="K10">
            <v>2</v>
          </cell>
          <cell r="N10">
            <v>268.56</v>
          </cell>
        </row>
        <row r="11">
          <cell r="E11">
            <v>4</v>
          </cell>
          <cell r="F11">
            <v>509.38</v>
          </cell>
          <cell r="K11">
            <v>6</v>
          </cell>
          <cell r="N11">
            <v>2037.52</v>
          </cell>
        </row>
        <row r="12">
          <cell r="E12">
            <v>5</v>
          </cell>
          <cell r="F12">
            <v>625.97</v>
          </cell>
          <cell r="K12">
            <v>9</v>
          </cell>
          <cell r="N12">
            <v>3129.85</v>
          </cell>
        </row>
        <row r="13">
          <cell r="E13">
            <v>3</v>
          </cell>
          <cell r="F13">
            <v>49.14</v>
          </cell>
          <cell r="K13">
            <v>7</v>
          </cell>
          <cell r="N13">
            <v>147.41999999999999</v>
          </cell>
        </row>
        <row r="14">
          <cell r="E14">
            <v>2</v>
          </cell>
          <cell r="F14">
            <v>180.5</v>
          </cell>
          <cell r="K14">
            <v>6</v>
          </cell>
          <cell r="N14">
            <v>361</v>
          </cell>
        </row>
        <row r="15">
          <cell r="E15">
            <v>3</v>
          </cell>
          <cell r="F15">
            <v>201.49</v>
          </cell>
          <cell r="K15">
            <v>4</v>
          </cell>
          <cell r="N15">
            <v>604.47</v>
          </cell>
        </row>
        <row r="16">
          <cell r="E16">
            <v>2</v>
          </cell>
          <cell r="F16">
            <v>393.33</v>
          </cell>
          <cell r="K16">
            <v>3</v>
          </cell>
          <cell r="N16">
            <v>786.66</v>
          </cell>
        </row>
        <row r="17">
          <cell r="E17">
            <v>1</v>
          </cell>
          <cell r="F17">
            <v>473.96</v>
          </cell>
          <cell r="K17">
            <v>3</v>
          </cell>
          <cell r="N17">
            <v>473.96</v>
          </cell>
        </row>
        <row r="18">
          <cell r="E18">
            <v>2</v>
          </cell>
          <cell r="F18">
            <v>533.80999999999995</v>
          </cell>
          <cell r="K18">
            <v>3</v>
          </cell>
          <cell r="N18">
            <v>1067.6199999999999</v>
          </cell>
        </row>
        <row r="19">
          <cell r="E19">
            <v>1</v>
          </cell>
          <cell r="F19">
            <v>423.4</v>
          </cell>
          <cell r="K19">
            <v>3</v>
          </cell>
          <cell r="N19">
            <v>423.4</v>
          </cell>
        </row>
        <row r="20">
          <cell r="E20">
            <v>1</v>
          </cell>
          <cell r="F20">
            <v>431.44</v>
          </cell>
          <cell r="K20">
            <v>3</v>
          </cell>
          <cell r="N20">
            <v>431.44</v>
          </cell>
        </row>
        <row r="21">
          <cell r="E21">
            <v>5</v>
          </cell>
          <cell r="F21">
            <v>224</v>
          </cell>
          <cell r="K21">
            <v>9</v>
          </cell>
          <cell r="N21">
            <v>1120</v>
          </cell>
        </row>
        <row r="22">
          <cell r="E22">
            <v>5</v>
          </cell>
          <cell r="F22">
            <v>62.51</v>
          </cell>
          <cell r="K22">
            <v>9</v>
          </cell>
          <cell r="N22">
            <v>312.55</v>
          </cell>
        </row>
        <row r="23">
          <cell r="E23">
            <v>4</v>
          </cell>
          <cell r="F23">
            <v>342.95</v>
          </cell>
          <cell r="K23">
            <v>6</v>
          </cell>
          <cell r="N23">
            <v>1371.8</v>
          </cell>
        </row>
        <row r="24">
          <cell r="E24">
            <v>2</v>
          </cell>
          <cell r="F24">
            <v>49.62</v>
          </cell>
          <cell r="K24">
            <v>2</v>
          </cell>
          <cell r="N24">
            <v>99.24</v>
          </cell>
        </row>
        <row r="25">
          <cell r="E25">
            <v>4</v>
          </cell>
          <cell r="F25">
            <v>273.25</v>
          </cell>
          <cell r="K25">
            <v>5</v>
          </cell>
          <cell r="N25">
            <v>1093</v>
          </cell>
        </row>
        <row r="26">
          <cell r="E26">
            <v>2</v>
          </cell>
          <cell r="F26">
            <v>230.95</v>
          </cell>
          <cell r="K26">
            <v>3</v>
          </cell>
          <cell r="N26">
            <v>461.9</v>
          </cell>
        </row>
        <row r="27">
          <cell r="E27">
            <v>1</v>
          </cell>
          <cell r="F27">
            <v>399.98</v>
          </cell>
          <cell r="K27">
            <v>3</v>
          </cell>
          <cell r="N27">
            <v>399.98</v>
          </cell>
        </row>
        <row r="28">
          <cell r="E28">
            <v>5</v>
          </cell>
          <cell r="F28">
            <v>59.55</v>
          </cell>
          <cell r="K28">
            <v>6</v>
          </cell>
          <cell r="N28">
            <v>297.75</v>
          </cell>
        </row>
        <row r="29">
          <cell r="E29">
            <v>1</v>
          </cell>
          <cell r="F29">
            <v>472.74</v>
          </cell>
          <cell r="K29">
            <v>6</v>
          </cell>
          <cell r="N29">
            <v>472.74</v>
          </cell>
        </row>
        <row r="30">
          <cell r="E30">
            <v>4</v>
          </cell>
          <cell r="F30">
            <v>160.07</v>
          </cell>
          <cell r="K30">
            <v>5</v>
          </cell>
          <cell r="N30">
            <v>640.28</v>
          </cell>
        </row>
        <row r="31">
          <cell r="E31">
            <v>3</v>
          </cell>
          <cell r="F31">
            <v>423.53</v>
          </cell>
          <cell r="K31">
            <v>6</v>
          </cell>
          <cell r="N31">
            <v>1270.5899999999999</v>
          </cell>
        </row>
        <row r="32">
          <cell r="E32">
            <v>2</v>
          </cell>
          <cell r="F32">
            <v>426.7</v>
          </cell>
          <cell r="K32">
            <v>5</v>
          </cell>
          <cell r="N32">
            <v>853.4</v>
          </cell>
        </row>
        <row r="33">
          <cell r="E33">
            <v>3</v>
          </cell>
          <cell r="F33">
            <v>500.08</v>
          </cell>
          <cell r="K33">
            <v>6</v>
          </cell>
          <cell r="N33">
            <v>1500.24</v>
          </cell>
        </row>
        <row r="34">
          <cell r="E34">
            <v>5</v>
          </cell>
          <cell r="F34">
            <v>536.72</v>
          </cell>
          <cell r="K34">
            <v>10</v>
          </cell>
          <cell r="N34">
            <v>2683.6</v>
          </cell>
        </row>
        <row r="35">
          <cell r="E35">
            <v>1</v>
          </cell>
          <cell r="F35">
            <v>162.77000000000001</v>
          </cell>
          <cell r="K35">
            <v>4</v>
          </cell>
          <cell r="N35">
            <v>162.77000000000001</v>
          </cell>
        </row>
        <row r="36">
          <cell r="E36">
            <v>4</v>
          </cell>
          <cell r="F36">
            <v>576.52</v>
          </cell>
          <cell r="K36">
            <v>5</v>
          </cell>
          <cell r="N36">
            <v>2306.08</v>
          </cell>
        </row>
        <row r="37">
          <cell r="E37">
            <v>2</v>
          </cell>
          <cell r="F37">
            <v>465.15</v>
          </cell>
          <cell r="K37">
            <v>2</v>
          </cell>
          <cell r="N37">
            <v>930.3</v>
          </cell>
        </row>
        <row r="38">
          <cell r="E38">
            <v>2</v>
          </cell>
          <cell r="F38">
            <v>534.42999999999995</v>
          </cell>
          <cell r="K38">
            <v>5</v>
          </cell>
          <cell r="N38">
            <v>1068.8599999999999</v>
          </cell>
        </row>
        <row r="39">
          <cell r="E39">
            <v>2</v>
          </cell>
          <cell r="F39">
            <v>76.739999999999995</v>
          </cell>
          <cell r="K39">
            <v>7</v>
          </cell>
          <cell r="N39">
            <v>153.47999999999999</v>
          </cell>
        </row>
        <row r="40">
          <cell r="E40">
            <v>1</v>
          </cell>
          <cell r="F40">
            <v>245.89</v>
          </cell>
          <cell r="K40">
            <v>3</v>
          </cell>
          <cell r="N40">
            <v>245.89</v>
          </cell>
        </row>
        <row r="41">
          <cell r="E41">
            <v>3</v>
          </cell>
          <cell r="F41">
            <v>256.45999999999998</v>
          </cell>
          <cell r="K41">
            <v>4</v>
          </cell>
          <cell r="N41">
            <v>769.37999999999988</v>
          </cell>
        </row>
        <row r="42">
          <cell r="E42">
            <v>2</v>
          </cell>
          <cell r="F42">
            <v>344.02</v>
          </cell>
          <cell r="K42">
            <v>4</v>
          </cell>
          <cell r="N42">
            <v>688.04</v>
          </cell>
        </row>
        <row r="43">
          <cell r="E43">
            <v>3</v>
          </cell>
          <cell r="F43">
            <v>611.45000000000005</v>
          </cell>
          <cell r="K43">
            <v>4</v>
          </cell>
          <cell r="N43">
            <v>1834.35</v>
          </cell>
        </row>
        <row r="44">
          <cell r="E44">
            <v>2</v>
          </cell>
          <cell r="F44">
            <v>151.66</v>
          </cell>
          <cell r="K44">
            <v>6</v>
          </cell>
          <cell r="N44">
            <v>303.32</v>
          </cell>
        </row>
        <row r="45">
          <cell r="E45">
            <v>3</v>
          </cell>
          <cell r="F45">
            <v>499.21</v>
          </cell>
          <cell r="K45">
            <v>8</v>
          </cell>
          <cell r="N45">
            <v>1497.63</v>
          </cell>
        </row>
        <row r="46">
          <cell r="E46">
            <v>2</v>
          </cell>
          <cell r="F46">
            <v>550.17999999999995</v>
          </cell>
          <cell r="K46">
            <v>3</v>
          </cell>
          <cell r="N46">
            <v>1100.3599999999999</v>
          </cell>
        </row>
        <row r="47">
          <cell r="E47">
            <v>1</v>
          </cell>
          <cell r="F47">
            <v>317.25</v>
          </cell>
          <cell r="K47">
            <v>1</v>
          </cell>
          <cell r="N47">
            <v>317.25</v>
          </cell>
        </row>
        <row r="48">
          <cell r="E48">
            <v>4</v>
          </cell>
          <cell r="F48">
            <v>550.14</v>
          </cell>
          <cell r="K48">
            <v>4</v>
          </cell>
          <cell r="N48">
            <v>2200.56</v>
          </cell>
        </row>
        <row r="49">
          <cell r="E49">
            <v>2</v>
          </cell>
          <cell r="F49">
            <v>209.94</v>
          </cell>
          <cell r="K49">
            <v>3</v>
          </cell>
          <cell r="N49">
            <v>419.88</v>
          </cell>
        </row>
        <row r="50">
          <cell r="E50">
            <v>2</v>
          </cell>
          <cell r="F50">
            <v>80.77</v>
          </cell>
          <cell r="K50">
            <v>4</v>
          </cell>
          <cell r="N50">
            <v>161.54</v>
          </cell>
        </row>
        <row r="51">
          <cell r="E51">
            <v>1</v>
          </cell>
          <cell r="F51">
            <v>30.44</v>
          </cell>
          <cell r="K51">
            <v>1</v>
          </cell>
          <cell r="N51">
            <v>30.44</v>
          </cell>
        </row>
        <row r="52">
          <cell r="E52">
            <v>1</v>
          </cell>
          <cell r="F52">
            <v>179.22</v>
          </cell>
          <cell r="K52">
            <v>6</v>
          </cell>
          <cell r="N52">
            <v>179.22</v>
          </cell>
        </row>
        <row r="53">
          <cell r="E53">
            <v>1</v>
          </cell>
          <cell r="F53">
            <v>388.33</v>
          </cell>
          <cell r="K53">
            <v>2</v>
          </cell>
          <cell r="N53">
            <v>388.33</v>
          </cell>
        </row>
        <row r="54">
          <cell r="E54">
            <v>1</v>
          </cell>
          <cell r="F54">
            <v>586.44000000000005</v>
          </cell>
          <cell r="K54">
            <v>5</v>
          </cell>
          <cell r="N54">
            <v>586.44000000000005</v>
          </cell>
        </row>
        <row r="55">
          <cell r="E55">
            <v>4</v>
          </cell>
          <cell r="F55">
            <v>488.78</v>
          </cell>
          <cell r="K55">
            <v>5</v>
          </cell>
          <cell r="N55">
            <v>1955.12</v>
          </cell>
        </row>
        <row r="56">
          <cell r="E56">
            <v>1</v>
          </cell>
          <cell r="F56">
            <v>280.25</v>
          </cell>
          <cell r="K56">
            <v>5</v>
          </cell>
          <cell r="N56">
            <v>280.25</v>
          </cell>
        </row>
        <row r="57">
          <cell r="E57">
            <v>3</v>
          </cell>
          <cell r="F57">
            <v>344.4</v>
          </cell>
          <cell r="K57">
            <v>3</v>
          </cell>
          <cell r="N57">
            <v>1033.2</v>
          </cell>
        </row>
        <row r="58">
          <cell r="E58">
            <v>3</v>
          </cell>
          <cell r="F58">
            <v>479.21</v>
          </cell>
          <cell r="K58">
            <v>5</v>
          </cell>
          <cell r="N58">
            <v>1437.63</v>
          </cell>
        </row>
        <row r="59">
          <cell r="E59">
            <v>5</v>
          </cell>
          <cell r="F59">
            <v>314.27</v>
          </cell>
          <cell r="K59">
            <v>6</v>
          </cell>
          <cell r="N59">
            <v>1571.35</v>
          </cell>
        </row>
        <row r="60">
          <cell r="E60">
            <v>4</v>
          </cell>
          <cell r="F60">
            <v>474.69</v>
          </cell>
          <cell r="K60">
            <v>6</v>
          </cell>
          <cell r="N60">
            <v>1898.76</v>
          </cell>
        </row>
        <row r="61">
          <cell r="E61">
            <v>4</v>
          </cell>
          <cell r="F61">
            <v>593.27</v>
          </cell>
          <cell r="K61">
            <v>5</v>
          </cell>
          <cell r="N61">
            <v>2373.08</v>
          </cell>
        </row>
        <row r="62">
          <cell r="E62">
            <v>1</v>
          </cell>
          <cell r="F62">
            <v>417.1</v>
          </cell>
          <cell r="K62">
            <v>3</v>
          </cell>
          <cell r="N62">
            <v>417.1</v>
          </cell>
        </row>
        <row r="63">
          <cell r="E63">
            <v>4</v>
          </cell>
          <cell r="F63">
            <v>122.2</v>
          </cell>
          <cell r="K63">
            <v>7</v>
          </cell>
          <cell r="N63">
            <v>488.8</v>
          </cell>
        </row>
        <row r="64">
          <cell r="E64">
            <v>2</v>
          </cell>
          <cell r="F64">
            <v>43.15</v>
          </cell>
          <cell r="K64">
            <v>3</v>
          </cell>
          <cell r="N64">
            <v>86.3</v>
          </cell>
        </row>
        <row r="65">
          <cell r="E65">
            <v>1</v>
          </cell>
          <cell r="F65">
            <v>564.86</v>
          </cell>
          <cell r="K65">
            <v>6</v>
          </cell>
          <cell r="N65">
            <v>564.86</v>
          </cell>
        </row>
        <row r="66">
          <cell r="E66">
            <v>3</v>
          </cell>
          <cell r="F66">
            <v>130.61000000000001</v>
          </cell>
          <cell r="K66">
            <v>4</v>
          </cell>
          <cell r="N66">
            <v>391.83</v>
          </cell>
        </row>
        <row r="67">
          <cell r="E67">
            <v>5</v>
          </cell>
          <cell r="F67">
            <v>81.7</v>
          </cell>
          <cell r="K67">
            <v>6</v>
          </cell>
          <cell r="N67">
            <v>408.5</v>
          </cell>
        </row>
        <row r="68">
          <cell r="E68">
            <v>5</v>
          </cell>
          <cell r="F68">
            <v>127.18</v>
          </cell>
          <cell r="K68">
            <v>9</v>
          </cell>
          <cell r="N68">
            <v>635.90000000000009</v>
          </cell>
        </row>
        <row r="69">
          <cell r="E69">
            <v>4</v>
          </cell>
          <cell r="F69">
            <v>12.1</v>
          </cell>
          <cell r="K69">
            <v>8</v>
          </cell>
          <cell r="N69">
            <v>48.4</v>
          </cell>
        </row>
        <row r="70">
          <cell r="E70">
            <v>3</v>
          </cell>
          <cell r="F70">
            <v>490.92</v>
          </cell>
          <cell r="K70">
            <v>5</v>
          </cell>
          <cell r="N70">
            <v>1472.76</v>
          </cell>
        </row>
        <row r="71">
          <cell r="E71">
            <v>3</v>
          </cell>
          <cell r="F71">
            <v>478.65</v>
          </cell>
          <cell r="K71">
            <v>4</v>
          </cell>
          <cell r="N71">
            <v>1435.95</v>
          </cell>
        </row>
        <row r="72">
          <cell r="E72">
            <v>1</v>
          </cell>
          <cell r="F72">
            <v>629.21</v>
          </cell>
          <cell r="K72">
            <v>2</v>
          </cell>
          <cell r="N72">
            <v>629.21</v>
          </cell>
        </row>
        <row r="73">
          <cell r="E73">
            <v>3</v>
          </cell>
          <cell r="F73">
            <v>434.45</v>
          </cell>
          <cell r="K73">
            <v>4</v>
          </cell>
          <cell r="N73">
            <v>1303.3499999999999</v>
          </cell>
        </row>
        <row r="74">
          <cell r="E74">
            <v>4</v>
          </cell>
          <cell r="F74">
            <v>589.44000000000005</v>
          </cell>
          <cell r="K74">
            <v>5</v>
          </cell>
          <cell r="N74">
            <v>2357.7600000000002</v>
          </cell>
        </row>
        <row r="75">
          <cell r="E75">
            <v>4</v>
          </cell>
          <cell r="F75">
            <v>433.45</v>
          </cell>
          <cell r="K75">
            <v>4</v>
          </cell>
          <cell r="N75">
            <v>1733.8</v>
          </cell>
        </row>
        <row r="76">
          <cell r="E76">
            <v>5</v>
          </cell>
          <cell r="F76">
            <v>90.87</v>
          </cell>
          <cell r="K76">
            <v>5</v>
          </cell>
          <cell r="N76">
            <v>454.35</v>
          </cell>
        </row>
        <row r="77">
          <cell r="E77">
            <v>3</v>
          </cell>
          <cell r="F77">
            <v>398.17</v>
          </cell>
          <cell r="K77">
            <v>5</v>
          </cell>
          <cell r="N77">
            <v>1194.51</v>
          </cell>
        </row>
        <row r="78">
          <cell r="E78">
            <v>4</v>
          </cell>
          <cell r="F78">
            <v>382.88</v>
          </cell>
          <cell r="K78">
            <v>6</v>
          </cell>
          <cell r="N78">
            <v>1531.52</v>
          </cell>
        </row>
        <row r="79">
          <cell r="E79">
            <v>1</v>
          </cell>
          <cell r="F79">
            <v>583.17999999999995</v>
          </cell>
          <cell r="K79">
            <v>5</v>
          </cell>
          <cell r="N79">
            <v>583.17999999999995</v>
          </cell>
        </row>
        <row r="80">
          <cell r="E80">
            <v>4</v>
          </cell>
          <cell r="F80">
            <v>175.36</v>
          </cell>
          <cell r="K80">
            <v>4</v>
          </cell>
          <cell r="N80">
            <v>701.44</v>
          </cell>
        </row>
        <row r="81">
          <cell r="E81">
            <v>2</v>
          </cell>
          <cell r="F81">
            <v>311.91000000000003</v>
          </cell>
          <cell r="K81">
            <v>2</v>
          </cell>
          <cell r="N81">
            <v>623.82000000000005</v>
          </cell>
        </row>
        <row r="82">
          <cell r="E82">
            <v>3</v>
          </cell>
          <cell r="F82">
            <v>589.55999999999995</v>
          </cell>
          <cell r="K82">
            <v>6</v>
          </cell>
          <cell r="N82">
            <v>1768.68</v>
          </cell>
        </row>
        <row r="83">
          <cell r="E83">
            <v>2</v>
          </cell>
          <cell r="F83">
            <v>394.3</v>
          </cell>
          <cell r="K83">
            <v>6</v>
          </cell>
          <cell r="N83">
            <v>788.6</v>
          </cell>
        </row>
        <row r="84">
          <cell r="E84">
            <v>4</v>
          </cell>
          <cell r="F84">
            <v>565.20000000000005</v>
          </cell>
          <cell r="K84">
            <v>9</v>
          </cell>
          <cell r="N84">
            <v>2260.8000000000002</v>
          </cell>
        </row>
        <row r="85">
          <cell r="E85">
            <v>4</v>
          </cell>
          <cell r="F85">
            <v>540.41</v>
          </cell>
          <cell r="K85">
            <v>6</v>
          </cell>
          <cell r="N85">
            <v>2161.64</v>
          </cell>
        </row>
        <row r="86">
          <cell r="E86">
            <v>2</v>
          </cell>
          <cell r="F86">
            <v>165.49</v>
          </cell>
          <cell r="K86">
            <v>4</v>
          </cell>
          <cell r="N86">
            <v>330.98</v>
          </cell>
        </row>
        <row r="87">
          <cell r="E87">
            <v>3</v>
          </cell>
          <cell r="F87">
            <v>146.72999999999999</v>
          </cell>
          <cell r="K87">
            <v>8</v>
          </cell>
          <cell r="N87">
            <v>440.18999999999988</v>
          </cell>
        </row>
        <row r="88">
          <cell r="E88">
            <v>5</v>
          </cell>
          <cell r="F88">
            <v>643.03</v>
          </cell>
          <cell r="K88">
            <v>5</v>
          </cell>
          <cell r="N88">
            <v>3215.15</v>
          </cell>
        </row>
        <row r="89">
          <cell r="E89">
            <v>3</v>
          </cell>
          <cell r="F89">
            <v>225.11</v>
          </cell>
          <cell r="K89">
            <v>4</v>
          </cell>
          <cell r="N89">
            <v>675.33</v>
          </cell>
        </row>
        <row r="90">
          <cell r="E90">
            <v>3</v>
          </cell>
          <cell r="F90">
            <v>114.81</v>
          </cell>
          <cell r="K90">
            <v>7</v>
          </cell>
          <cell r="N90">
            <v>344.43</v>
          </cell>
        </row>
        <row r="91">
          <cell r="E91">
            <v>5</v>
          </cell>
          <cell r="F91">
            <v>455.33</v>
          </cell>
          <cell r="K91">
            <v>8</v>
          </cell>
          <cell r="N91">
            <v>2276.65</v>
          </cell>
        </row>
        <row r="92">
          <cell r="E92">
            <v>4</v>
          </cell>
          <cell r="F92">
            <v>182.08</v>
          </cell>
          <cell r="K92">
            <v>4</v>
          </cell>
          <cell r="N92">
            <v>728.32</v>
          </cell>
        </row>
        <row r="93">
          <cell r="E93">
            <v>5</v>
          </cell>
          <cell r="F93">
            <v>492.75</v>
          </cell>
          <cell r="K93">
            <v>6</v>
          </cell>
          <cell r="N93">
            <v>2463.75</v>
          </cell>
        </row>
        <row r="94">
          <cell r="E94">
            <v>4</v>
          </cell>
          <cell r="F94">
            <v>48.61</v>
          </cell>
          <cell r="K94">
            <v>7</v>
          </cell>
          <cell r="N94">
            <v>194.44</v>
          </cell>
        </row>
        <row r="95">
          <cell r="E95">
            <v>4</v>
          </cell>
          <cell r="F95">
            <v>431.01</v>
          </cell>
          <cell r="K95">
            <v>7</v>
          </cell>
          <cell r="N95">
            <v>1724.04</v>
          </cell>
        </row>
        <row r="96">
          <cell r="E96">
            <v>1</v>
          </cell>
          <cell r="F96">
            <v>531.17999999999995</v>
          </cell>
          <cell r="K96">
            <v>6</v>
          </cell>
          <cell r="N96">
            <v>531.17999999999995</v>
          </cell>
        </row>
        <row r="97">
          <cell r="E97">
            <v>4</v>
          </cell>
          <cell r="F97">
            <v>117.51</v>
          </cell>
          <cell r="K97">
            <v>7</v>
          </cell>
          <cell r="N97">
            <v>470.04</v>
          </cell>
        </row>
        <row r="98">
          <cell r="E98">
            <v>2</v>
          </cell>
          <cell r="F98">
            <v>232.83</v>
          </cell>
          <cell r="K98">
            <v>7</v>
          </cell>
          <cell r="N98">
            <v>465.66</v>
          </cell>
        </row>
        <row r="99">
          <cell r="E99">
            <v>5</v>
          </cell>
          <cell r="F99">
            <v>619.52</v>
          </cell>
          <cell r="K99">
            <v>9</v>
          </cell>
          <cell r="N99">
            <v>3097.6</v>
          </cell>
        </row>
        <row r="100">
          <cell r="E100">
            <v>2</v>
          </cell>
          <cell r="F100">
            <v>228.54</v>
          </cell>
          <cell r="K100">
            <v>3</v>
          </cell>
          <cell r="N100">
            <v>457.08</v>
          </cell>
        </row>
        <row r="101">
          <cell r="E101">
            <v>1</v>
          </cell>
          <cell r="F101">
            <v>201.58</v>
          </cell>
          <cell r="K101">
            <v>2</v>
          </cell>
          <cell r="N101">
            <v>201.58</v>
          </cell>
        </row>
        <row r="102">
          <cell r="E102">
            <v>3</v>
          </cell>
          <cell r="F102">
            <v>664.79</v>
          </cell>
          <cell r="K102">
            <v>6</v>
          </cell>
          <cell r="N102">
            <v>1994.37</v>
          </cell>
        </row>
        <row r="103">
          <cell r="E103">
            <v>1</v>
          </cell>
          <cell r="F103">
            <v>381.02</v>
          </cell>
          <cell r="K103">
            <v>6</v>
          </cell>
          <cell r="N103">
            <v>381.02</v>
          </cell>
        </row>
        <row r="104">
          <cell r="E104">
            <v>2</v>
          </cell>
          <cell r="F104">
            <v>70.34</v>
          </cell>
          <cell r="K104">
            <v>3</v>
          </cell>
          <cell r="N104">
            <v>140.68</v>
          </cell>
        </row>
        <row r="105">
          <cell r="E105">
            <v>4</v>
          </cell>
          <cell r="F105">
            <v>218.43</v>
          </cell>
          <cell r="K105">
            <v>9</v>
          </cell>
          <cell r="N105">
            <v>873.72</v>
          </cell>
        </row>
        <row r="106">
          <cell r="E106">
            <v>1</v>
          </cell>
          <cell r="F106">
            <v>582.04</v>
          </cell>
          <cell r="K106">
            <v>1</v>
          </cell>
          <cell r="N106">
            <v>582.04</v>
          </cell>
        </row>
        <row r="107">
          <cell r="E107">
            <v>3</v>
          </cell>
          <cell r="F107">
            <v>185.4</v>
          </cell>
          <cell r="K107">
            <v>7</v>
          </cell>
          <cell r="N107">
            <v>556.20000000000005</v>
          </cell>
        </row>
        <row r="108">
          <cell r="E108">
            <v>3</v>
          </cell>
          <cell r="F108">
            <v>465.05</v>
          </cell>
          <cell r="K108">
            <v>3</v>
          </cell>
          <cell r="N108">
            <v>1395.15</v>
          </cell>
        </row>
        <row r="109">
          <cell r="E109">
            <v>5</v>
          </cell>
          <cell r="F109">
            <v>670.75</v>
          </cell>
          <cell r="K109">
            <v>8</v>
          </cell>
          <cell r="N109">
            <v>3353.75</v>
          </cell>
        </row>
        <row r="110">
          <cell r="E110">
            <v>5</v>
          </cell>
          <cell r="F110">
            <v>48.38</v>
          </cell>
          <cell r="K110">
            <v>9</v>
          </cell>
          <cell r="N110">
            <v>241.9</v>
          </cell>
        </row>
        <row r="111">
          <cell r="E111">
            <v>3</v>
          </cell>
          <cell r="F111">
            <v>592.87</v>
          </cell>
          <cell r="K111">
            <v>3</v>
          </cell>
          <cell r="N111">
            <v>1778.61</v>
          </cell>
        </row>
        <row r="112">
          <cell r="E112">
            <v>1</v>
          </cell>
          <cell r="F112">
            <v>220.77</v>
          </cell>
          <cell r="K112">
            <v>5</v>
          </cell>
          <cell r="N112">
            <v>220.77</v>
          </cell>
        </row>
        <row r="113">
          <cell r="E113">
            <v>3</v>
          </cell>
          <cell r="F113">
            <v>309.22000000000003</v>
          </cell>
          <cell r="K113">
            <v>7</v>
          </cell>
          <cell r="N113">
            <v>927.66000000000008</v>
          </cell>
        </row>
        <row r="114">
          <cell r="E114">
            <v>1</v>
          </cell>
          <cell r="F114">
            <v>410.6</v>
          </cell>
          <cell r="K114">
            <v>2</v>
          </cell>
          <cell r="N114">
            <v>410.6</v>
          </cell>
        </row>
        <row r="115">
          <cell r="E115">
            <v>5</v>
          </cell>
          <cell r="F115">
            <v>190.08</v>
          </cell>
          <cell r="K115">
            <v>9</v>
          </cell>
          <cell r="N115">
            <v>950.40000000000009</v>
          </cell>
        </row>
        <row r="116">
          <cell r="E116">
            <v>5</v>
          </cell>
          <cell r="F116">
            <v>498.48</v>
          </cell>
          <cell r="K116">
            <v>8</v>
          </cell>
          <cell r="N116">
            <v>2492.4</v>
          </cell>
        </row>
        <row r="117">
          <cell r="E117">
            <v>5</v>
          </cell>
          <cell r="F117">
            <v>374.99</v>
          </cell>
          <cell r="K117">
            <v>9</v>
          </cell>
          <cell r="N117">
            <v>1874.95</v>
          </cell>
        </row>
        <row r="118">
          <cell r="E118">
            <v>4</v>
          </cell>
          <cell r="F118">
            <v>291.35000000000002</v>
          </cell>
          <cell r="K118">
            <v>6</v>
          </cell>
          <cell r="N118">
            <v>1165.4000000000001</v>
          </cell>
        </row>
        <row r="119">
          <cell r="E119">
            <v>1</v>
          </cell>
          <cell r="F119">
            <v>535.5</v>
          </cell>
          <cell r="K119">
            <v>5</v>
          </cell>
          <cell r="N119">
            <v>535.5</v>
          </cell>
        </row>
        <row r="120">
          <cell r="E120">
            <v>5</v>
          </cell>
          <cell r="F120">
            <v>502.71</v>
          </cell>
          <cell r="K120">
            <v>7</v>
          </cell>
          <cell r="N120">
            <v>2513.5500000000002</v>
          </cell>
        </row>
        <row r="121">
          <cell r="E121">
            <v>2</v>
          </cell>
          <cell r="F121">
            <v>534.66999999999996</v>
          </cell>
          <cell r="K121">
            <v>7</v>
          </cell>
          <cell r="N121">
            <v>1069.3399999999999</v>
          </cell>
        </row>
        <row r="122">
          <cell r="E122">
            <v>4</v>
          </cell>
          <cell r="F122">
            <v>629.34</v>
          </cell>
          <cell r="K122">
            <v>4</v>
          </cell>
          <cell r="N122">
            <v>2517.36</v>
          </cell>
        </row>
        <row r="123">
          <cell r="E123">
            <v>1</v>
          </cell>
          <cell r="F123">
            <v>410.78</v>
          </cell>
          <cell r="K123">
            <v>1</v>
          </cell>
          <cell r="N123">
            <v>410.78</v>
          </cell>
        </row>
        <row r="124">
          <cell r="E124">
            <v>2</v>
          </cell>
          <cell r="F124">
            <v>533.02</v>
          </cell>
          <cell r="K124">
            <v>2</v>
          </cell>
          <cell r="N124">
            <v>1066.04</v>
          </cell>
        </row>
        <row r="125">
          <cell r="E125">
            <v>3</v>
          </cell>
          <cell r="F125">
            <v>278.04000000000002</v>
          </cell>
          <cell r="K125">
            <v>5</v>
          </cell>
          <cell r="N125">
            <v>834.12000000000012</v>
          </cell>
        </row>
        <row r="126">
          <cell r="E126">
            <v>4</v>
          </cell>
          <cell r="F126">
            <v>283.79000000000002</v>
          </cell>
          <cell r="K126">
            <v>8</v>
          </cell>
          <cell r="N126">
            <v>1135.1600000000001</v>
          </cell>
        </row>
        <row r="127">
          <cell r="E127">
            <v>2</v>
          </cell>
          <cell r="F127">
            <v>512.65</v>
          </cell>
          <cell r="K127">
            <v>5</v>
          </cell>
          <cell r="N127">
            <v>1025.3</v>
          </cell>
        </row>
        <row r="128">
          <cell r="E128">
            <v>4</v>
          </cell>
          <cell r="F128">
            <v>275.5</v>
          </cell>
          <cell r="K128">
            <v>8</v>
          </cell>
          <cell r="N128">
            <v>1102</v>
          </cell>
        </row>
        <row r="129">
          <cell r="E129">
            <v>3</v>
          </cell>
          <cell r="F129">
            <v>469.32</v>
          </cell>
          <cell r="K129">
            <v>3</v>
          </cell>
          <cell r="N129">
            <v>1407.96</v>
          </cell>
        </row>
        <row r="130">
          <cell r="E130">
            <v>4</v>
          </cell>
          <cell r="F130">
            <v>21.07</v>
          </cell>
          <cell r="K130">
            <v>4</v>
          </cell>
          <cell r="N130">
            <v>84.28</v>
          </cell>
        </row>
        <row r="131">
          <cell r="E131">
            <v>4</v>
          </cell>
          <cell r="F131">
            <v>263.93</v>
          </cell>
          <cell r="K131">
            <v>4</v>
          </cell>
          <cell r="N131">
            <v>1055.72</v>
          </cell>
        </row>
        <row r="132">
          <cell r="E132">
            <v>3</v>
          </cell>
          <cell r="F132">
            <v>501.3</v>
          </cell>
          <cell r="K132">
            <v>3</v>
          </cell>
          <cell r="N132">
            <v>1503.9</v>
          </cell>
        </row>
        <row r="133">
          <cell r="E133">
            <v>1</v>
          </cell>
          <cell r="F133">
            <v>84.8</v>
          </cell>
          <cell r="K133">
            <v>5</v>
          </cell>
          <cell r="N133">
            <v>84.8</v>
          </cell>
        </row>
        <row r="134">
          <cell r="E134">
            <v>4</v>
          </cell>
          <cell r="F134">
            <v>450.75</v>
          </cell>
          <cell r="K134">
            <v>6</v>
          </cell>
          <cell r="N134">
            <v>1803</v>
          </cell>
        </row>
        <row r="135">
          <cell r="E135">
            <v>4</v>
          </cell>
          <cell r="F135">
            <v>302.05</v>
          </cell>
          <cell r="K135">
            <v>6</v>
          </cell>
          <cell r="N135">
            <v>1208.2</v>
          </cell>
        </row>
        <row r="136">
          <cell r="E136">
            <v>2</v>
          </cell>
          <cell r="F136">
            <v>199.7</v>
          </cell>
          <cell r="K136">
            <v>4</v>
          </cell>
          <cell r="N136">
            <v>399.4</v>
          </cell>
        </row>
        <row r="137">
          <cell r="E137">
            <v>2</v>
          </cell>
          <cell r="F137">
            <v>68.81</v>
          </cell>
          <cell r="K137">
            <v>5</v>
          </cell>
          <cell r="N137">
            <v>137.62</v>
          </cell>
        </row>
        <row r="138">
          <cell r="E138">
            <v>1</v>
          </cell>
          <cell r="F138">
            <v>44.35</v>
          </cell>
          <cell r="K138">
            <v>1</v>
          </cell>
          <cell r="N138">
            <v>44.35</v>
          </cell>
        </row>
        <row r="139">
          <cell r="E139">
            <v>2</v>
          </cell>
          <cell r="F139">
            <v>250.98</v>
          </cell>
          <cell r="K139">
            <v>5</v>
          </cell>
          <cell r="N139">
            <v>501.96</v>
          </cell>
        </row>
        <row r="140">
          <cell r="E140">
            <v>1</v>
          </cell>
          <cell r="F140">
            <v>298.06</v>
          </cell>
          <cell r="K140">
            <v>3</v>
          </cell>
          <cell r="N140">
            <v>298.06</v>
          </cell>
        </row>
        <row r="141">
          <cell r="E141">
            <v>1</v>
          </cell>
          <cell r="F141">
            <v>583.9</v>
          </cell>
          <cell r="K141">
            <v>1</v>
          </cell>
          <cell r="N141">
            <v>583.9</v>
          </cell>
        </row>
        <row r="142">
          <cell r="E142">
            <v>3</v>
          </cell>
          <cell r="F142">
            <v>528.14</v>
          </cell>
          <cell r="K142">
            <v>3</v>
          </cell>
          <cell r="N142">
            <v>1584.42</v>
          </cell>
        </row>
        <row r="143">
          <cell r="E143">
            <v>3</v>
          </cell>
          <cell r="F143">
            <v>684.14</v>
          </cell>
          <cell r="K143">
            <v>3</v>
          </cell>
          <cell r="N143">
            <v>2052.42</v>
          </cell>
        </row>
        <row r="144">
          <cell r="E144">
            <v>5</v>
          </cell>
          <cell r="F144">
            <v>272.77</v>
          </cell>
          <cell r="K144">
            <v>7</v>
          </cell>
          <cell r="N144">
            <v>1363.85</v>
          </cell>
        </row>
        <row r="145">
          <cell r="E145">
            <v>4</v>
          </cell>
          <cell r="F145">
            <v>400.07</v>
          </cell>
          <cell r="K145">
            <v>5</v>
          </cell>
          <cell r="N145">
            <v>1600.28</v>
          </cell>
        </row>
        <row r="146">
          <cell r="E146">
            <v>5</v>
          </cell>
          <cell r="F146">
            <v>219.78</v>
          </cell>
          <cell r="K146">
            <v>8</v>
          </cell>
          <cell r="N146">
            <v>1098.9000000000001</v>
          </cell>
        </row>
        <row r="147">
          <cell r="E147">
            <v>3</v>
          </cell>
          <cell r="F147">
            <v>146.91</v>
          </cell>
          <cell r="K147">
            <v>6</v>
          </cell>
          <cell r="N147">
            <v>440.73</v>
          </cell>
        </row>
        <row r="148">
          <cell r="E148">
            <v>2</v>
          </cell>
          <cell r="F148">
            <v>411.49</v>
          </cell>
          <cell r="K148">
            <v>4</v>
          </cell>
          <cell r="N148">
            <v>822.98</v>
          </cell>
        </row>
        <row r="149">
          <cell r="E149">
            <v>2</v>
          </cell>
          <cell r="F149">
            <v>465.18</v>
          </cell>
          <cell r="K149">
            <v>2</v>
          </cell>
          <cell r="N149">
            <v>930.36</v>
          </cell>
        </row>
        <row r="150">
          <cell r="E150">
            <v>2</v>
          </cell>
          <cell r="F150">
            <v>319.91000000000003</v>
          </cell>
          <cell r="K150">
            <v>3</v>
          </cell>
          <cell r="N150">
            <v>639.82000000000005</v>
          </cell>
        </row>
        <row r="151">
          <cell r="E151">
            <v>1</v>
          </cell>
          <cell r="F151">
            <v>217.56</v>
          </cell>
          <cell r="K151">
            <v>3</v>
          </cell>
          <cell r="N151">
            <v>217.56</v>
          </cell>
        </row>
        <row r="152">
          <cell r="E152">
            <v>2</v>
          </cell>
          <cell r="F152">
            <v>105.57</v>
          </cell>
          <cell r="K152">
            <v>5</v>
          </cell>
          <cell r="N152">
            <v>211.14</v>
          </cell>
        </row>
        <row r="153">
          <cell r="E153">
            <v>5</v>
          </cell>
          <cell r="F153">
            <v>444.76</v>
          </cell>
          <cell r="K153">
            <v>7</v>
          </cell>
          <cell r="N153">
            <v>2223.8000000000002</v>
          </cell>
        </row>
        <row r="154">
          <cell r="E154">
            <v>2</v>
          </cell>
          <cell r="F154">
            <v>399.04</v>
          </cell>
          <cell r="K154">
            <v>3</v>
          </cell>
          <cell r="N154">
            <v>798.08</v>
          </cell>
        </row>
        <row r="155">
          <cell r="E155">
            <v>4</v>
          </cell>
          <cell r="F155">
            <v>534.48</v>
          </cell>
          <cell r="K155">
            <v>9</v>
          </cell>
          <cell r="N155">
            <v>2137.92</v>
          </cell>
        </row>
        <row r="156">
          <cell r="E156">
            <v>4</v>
          </cell>
          <cell r="F156">
            <v>408.21</v>
          </cell>
          <cell r="K156">
            <v>9</v>
          </cell>
          <cell r="N156">
            <v>1632.84</v>
          </cell>
        </row>
        <row r="157">
          <cell r="E157">
            <v>1</v>
          </cell>
          <cell r="F157">
            <v>424.4</v>
          </cell>
          <cell r="K157">
            <v>6</v>
          </cell>
          <cell r="N157">
            <v>424.4</v>
          </cell>
        </row>
        <row r="158">
          <cell r="E158">
            <v>2</v>
          </cell>
          <cell r="F158">
            <v>269.83</v>
          </cell>
          <cell r="K158">
            <v>4</v>
          </cell>
          <cell r="N158">
            <v>539.66</v>
          </cell>
        </row>
        <row r="159">
          <cell r="E159">
            <v>2</v>
          </cell>
          <cell r="F159">
            <v>564.58000000000004</v>
          </cell>
          <cell r="K159">
            <v>4</v>
          </cell>
          <cell r="N159">
            <v>1129.1600000000001</v>
          </cell>
        </row>
        <row r="160">
          <cell r="E160">
            <v>1</v>
          </cell>
          <cell r="F160">
            <v>331.06</v>
          </cell>
          <cell r="K160">
            <v>5</v>
          </cell>
          <cell r="N160">
            <v>331.06</v>
          </cell>
        </row>
        <row r="161">
          <cell r="E161">
            <v>1</v>
          </cell>
          <cell r="F161">
            <v>299.35000000000002</v>
          </cell>
          <cell r="K161">
            <v>5</v>
          </cell>
          <cell r="N161">
            <v>299.35000000000002</v>
          </cell>
        </row>
        <row r="162">
          <cell r="E162">
            <v>4</v>
          </cell>
          <cell r="F162">
            <v>101.32</v>
          </cell>
          <cell r="K162">
            <v>7</v>
          </cell>
          <cell r="N162">
            <v>405.28</v>
          </cell>
        </row>
        <row r="163">
          <cell r="E163">
            <v>1</v>
          </cell>
          <cell r="F163">
            <v>211.14</v>
          </cell>
          <cell r="K163">
            <v>1</v>
          </cell>
          <cell r="N163">
            <v>211.14</v>
          </cell>
        </row>
        <row r="164">
          <cell r="E164">
            <v>3</v>
          </cell>
          <cell r="F164">
            <v>65.86</v>
          </cell>
          <cell r="K164">
            <v>8</v>
          </cell>
          <cell r="N164">
            <v>197.58</v>
          </cell>
        </row>
        <row r="165">
          <cell r="E165">
            <v>1</v>
          </cell>
          <cell r="F165">
            <v>641.39</v>
          </cell>
          <cell r="K165">
            <v>1</v>
          </cell>
          <cell r="N165">
            <v>641.39</v>
          </cell>
        </row>
        <row r="166">
          <cell r="E166">
            <v>5</v>
          </cell>
          <cell r="F166">
            <v>536.58000000000004</v>
          </cell>
          <cell r="K166">
            <v>5</v>
          </cell>
          <cell r="N166">
            <v>2682.9</v>
          </cell>
        </row>
        <row r="167">
          <cell r="E167">
            <v>2</v>
          </cell>
          <cell r="F167">
            <v>500.29</v>
          </cell>
          <cell r="K167">
            <v>7</v>
          </cell>
          <cell r="N167">
            <v>1000.58</v>
          </cell>
        </row>
        <row r="168">
          <cell r="E168">
            <v>3</v>
          </cell>
          <cell r="F168">
            <v>86.29</v>
          </cell>
          <cell r="K168">
            <v>6</v>
          </cell>
          <cell r="N168">
            <v>258.87</v>
          </cell>
        </row>
        <row r="169">
          <cell r="E169">
            <v>2</v>
          </cell>
          <cell r="F169">
            <v>384.14</v>
          </cell>
          <cell r="K169">
            <v>2</v>
          </cell>
          <cell r="N169">
            <v>768.28</v>
          </cell>
        </row>
        <row r="170">
          <cell r="E170">
            <v>1</v>
          </cell>
          <cell r="F170">
            <v>594.96</v>
          </cell>
          <cell r="K170">
            <v>6</v>
          </cell>
          <cell r="N170">
            <v>594.96</v>
          </cell>
        </row>
        <row r="171">
          <cell r="E171">
            <v>1</v>
          </cell>
          <cell r="F171">
            <v>427.82</v>
          </cell>
          <cell r="K171">
            <v>2</v>
          </cell>
          <cell r="N171">
            <v>427.82</v>
          </cell>
        </row>
        <row r="172">
          <cell r="E172">
            <v>4</v>
          </cell>
          <cell r="F172">
            <v>662.94</v>
          </cell>
          <cell r="K172">
            <v>8</v>
          </cell>
          <cell r="N172">
            <v>2651.76</v>
          </cell>
        </row>
        <row r="173">
          <cell r="E173">
            <v>2</v>
          </cell>
          <cell r="F173">
            <v>148.22</v>
          </cell>
          <cell r="K173">
            <v>7</v>
          </cell>
          <cell r="N173">
            <v>296.44</v>
          </cell>
        </row>
        <row r="174">
          <cell r="E174">
            <v>1</v>
          </cell>
          <cell r="F174">
            <v>254.12</v>
          </cell>
          <cell r="K174">
            <v>1</v>
          </cell>
          <cell r="N174">
            <v>254.12</v>
          </cell>
        </row>
        <row r="175">
          <cell r="E175">
            <v>3</v>
          </cell>
          <cell r="F175">
            <v>664.46</v>
          </cell>
          <cell r="K175">
            <v>4</v>
          </cell>
          <cell r="N175">
            <v>1993.38</v>
          </cell>
        </row>
        <row r="176">
          <cell r="E176">
            <v>4</v>
          </cell>
          <cell r="F176">
            <v>600.80999999999995</v>
          </cell>
          <cell r="K176">
            <v>9</v>
          </cell>
          <cell r="N176">
            <v>2403.2399999999998</v>
          </cell>
        </row>
        <row r="177">
          <cell r="E177">
            <v>5</v>
          </cell>
          <cell r="F177">
            <v>68.34</v>
          </cell>
          <cell r="K177">
            <v>6</v>
          </cell>
          <cell r="N177">
            <v>341.7</v>
          </cell>
        </row>
        <row r="178">
          <cell r="E178">
            <v>4</v>
          </cell>
          <cell r="F178">
            <v>430.83</v>
          </cell>
          <cell r="K178">
            <v>8</v>
          </cell>
          <cell r="N178">
            <v>1723.32</v>
          </cell>
        </row>
        <row r="179">
          <cell r="E179">
            <v>5</v>
          </cell>
          <cell r="F179">
            <v>431.69</v>
          </cell>
          <cell r="K179">
            <v>10</v>
          </cell>
          <cell r="N179">
            <v>2158.4499999999998</v>
          </cell>
        </row>
        <row r="180">
          <cell r="E180">
            <v>4</v>
          </cell>
          <cell r="F180">
            <v>512.05999999999995</v>
          </cell>
          <cell r="K180">
            <v>5</v>
          </cell>
          <cell r="N180">
            <v>2048.2399999999998</v>
          </cell>
        </row>
        <row r="181">
          <cell r="E181">
            <v>3</v>
          </cell>
          <cell r="F181">
            <v>539.91</v>
          </cell>
          <cell r="K181">
            <v>8</v>
          </cell>
          <cell r="N181">
            <v>1619.73</v>
          </cell>
        </row>
        <row r="182">
          <cell r="E182">
            <v>5</v>
          </cell>
          <cell r="F182">
            <v>316.07</v>
          </cell>
          <cell r="K182">
            <v>10</v>
          </cell>
          <cell r="N182">
            <v>1580.35</v>
          </cell>
        </row>
        <row r="183">
          <cell r="E183">
            <v>5</v>
          </cell>
          <cell r="F183">
            <v>404.39</v>
          </cell>
          <cell r="K183">
            <v>10</v>
          </cell>
          <cell r="N183">
            <v>2021.95</v>
          </cell>
        </row>
        <row r="184">
          <cell r="E184">
            <v>1</v>
          </cell>
          <cell r="F184">
            <v>600.54</v>
          </cell>
          <cell r="K184">
            <v>4</v>
          </cell>
          <cell r="N184">
            <v>600.54</v>
          </cell>
        </row>
        <row r="185">
          <cell r="E185">
            <v>5</v>
          </cell>
          <cell r="F185">
            <v>186.28</v>
          </cell>
          <cell r="K185">
            <v>8</v>
          </cell>
          <cell r="N185">
            <v>931.4</v>
          </cell>
        </row>
        <row r="186">
          <cell r="E186">
            <v>4</v>
          </cell>
          <cell r="F186">
            <v>214.54</v>
          </cell>
          <cell r="K186">
            <v>7</v>
          </cell>
          <cell r="N186">
            <v>858.16</v>
          </cell>
        </row>
        <row r="187">
          <cell r="E187">
            <v>1</v>
          </cell>
          <cell r="F187">
            <v>210.7</v>
          </cell>
          <cell r="K187">
            <v>2</v>
          </cell>
          <cell r="N187">
            <v>210.7</v>
          </cell>
        </row>
        <row r="188">
          <cell r="E188">
            <v>2</v>
          </cell>
          <cell r="F188">
            <v>133.55000000000001</v>
          </cell>
          <cell r="K188">
            <v>7</v>
          </cell>
          <cell r="N188">
            <v>267.10000000000002</v>
          </cell>
        </row>
        <row r="189">
          <cell r="E189">
            <v>1</v>
          </cell>
          <cell r="F189">
            <v>590.87</v>
          </cell>
          <cell r="K189">
            <v>6</v>
          </cell>
          <cell r="N189">
            <v>590.87</v>
          </cell>
        </row>
        <row r="190">
          <cell r="E190">
            <v>2</v>
          </cell>
          <cell r="F190">
            <v>363.91</v>
          </cell>
          <cell r="K190">
            <v>2</v>
          </cell>
          <cell r="N190">
            <v>727.82</v>
          </cell>
        </row>
        <row r="191">
          <cell r="E191">
            <v>5</v>
          </cell>
          <cell r="F191">
            <v>429.45</v>
          </cell>
          <cell r="K191">
            <v>5</v>
          </cell>
          <cell r="N191">
            <v>2147.25</v>
          </cell>
        </row>
        <row r="192">
          <cell r="E192">
            <v>3</v>
          </cell>
          <cell r="F192">
            <v>223.7</v>
          </cell>
          <cell r="K192">
            <v>3</v>
          </cell>
          <cell r="N192">
            <v>671.09999999999991</v>
          </cell>
        </row>
        <row r="193">
          <cell r="E193">
            <v>2</v>
          </cell>
          <cell r="F193">
            <v>488.87</v>
          </cell>
          <cell r="K193">
            <v>4</v>
          </cell>
          <cell r="N193">
            <v>977.74</v>
          </cell>
        </row>
        <row r="194">
          <cell r="E194">
            <v>1</v>
          </cell>
          <cell r="F194">
            <v>645.46</v>
          </cell>
          <cell r="K194">
            <v>5</v>
          </cell>
          <cell r="N194">
            <v>645.46</v>
          </cell>
        </row>
        <row r="195">
          <cell r="E195">
            <v>1</v>
          </cell>
          <cell r="F195">
            <v>46.66</v>
          </cell>
          <cell r="K195">
            <v>6</v>
          </cell>
          <cell r="N195">
            <v>46.66</v>
          </cell>
        </row>
        <row r="196">
          <cell r="E196">
            <v>1</v>
          </cell>
          <cell r="F196">
            <v>249.57</v>
          </cell>
          <cell r="K196">
            <v>3</v>
          </cell>
          <cell r="N196">
            <v>249.57</v>
          </cell>
        </row>
        <row r="197">
          <cell r="E197">
            <v>3</v>
          </cell>
          <cell r="F197">
            <v>619.21</v>
          </cell>
          <cell r="K197">
            <v>6</v>
          </cell>
          <cell r="N197">
            <v>1857.63</v>
          </cell>
        </row>
        <row r="198">
          <cell r="E198">
            <v>4</v>
          </cell>
          <cell r="F198">
            <v>217.13</v>
          </cell>
          <cell r="K198">
            <v>8</v>
          </cell>
          <cell r="N198">
            <v>868.52</v>
          </cell>
        </row>
        <row r="199">
          <cell r="E199">
            <v>5</v>
          </cell>
          <cell r="F199">
            <v>221.51</v>
          </cell>
          <cell r="K199">
            <v>5</v>
          </cell>
          <cell r="N199">
            <v>1107.55</v>
          </cell>
        </row>
        <row r="200">
          <cell r="E200">
            <v>4</v>
          </cell>
          <cell r="F200">
            <v>340.3</v>
          </cell>
          <cell r="K200">
            <v>8</v>
          </cell>
          <cell r="N200">
            <v>1361.2</v>
          </cell>
        </row>
        <row r="201">
          <cell r="E201">
            <v>1</v>
          </cell>
          <cell r="F201">
            <v>625</v>
          </cell>
          <cell r="K201">
            <v>5</v>
          </cell>
          <cell r="N201">
            <v>625</v>
          </cell>
        </row>
        <row r="202">
          <cell r="E202">
            <v>5</v>
          </cell>
          <cell r="F202">
            <v>433.26</v>
          </cell>
          <cell r="K202">
            <v>9</v>
          </cell>
          <cell r="N202">
            <v>2166.3000000000002</v>
          </cell>
        </row>
        <row r="203">
          <cell r="E203">
            <v>2</v>
          </cell>
          <cell r="F203">
            <v>674.9</v>
          </cell>
          <cell r="K203">
            <v>4</v>
          </cell>
          <cell r="N203">
            <v>1349.8</v>
          </cell>
        </row>
        <row r="204">
          <cell r="E204">
            <v>3</v>
          </cell>
          <cell r="F204">
            <v>253.98</v>
          </cell>
          <cell r="K204">
            <v>3</v>
          </cell>
          <cell r="N204">
            <v>761.93999999999994</v>
          </cell>
        </row>
        <row r="205">
          <cell r="E205">
            <v>3</v>
          </cell>
          <cell r="F205">
            <v>356.84</v>
          </cell>
          <cell r="K205">
            <v>5</v>
          </cell>
          <cell r="N205">
            <v>1070.52</v>
          </cell>
        </row>
        <row r="206">
          <cell r="E206">
            <v>4</v>
          </cell>
          <cell r="F206">
            <v>413.71</v>
          </cell>
          <cell r="K206">
            <v>9</v>
          </cell>
          <cell r="N206">
            <v>1654.84</v>
          </cell>
        </row>
        <row r="207">
          <cell r="E207">
            <v>3</v>
          </cell>
          <cell r="F207">
            <v>147.38999999999999</v>
          </cell>
          <cell r="K207">
            <v>3</v>
          </cell>
          <cell r="N207">
            <v>442.17</v>
          </cell>
        </row>
        <row r="208">
          <cell r="E208">
            <v>4</v>
          </cell>
          <cell r="F208">
            <v>229.1</v>
          </cell>
          <cell r="K208">
            <v>8</v>
          </cell>
          <cell r="N208">
            <v>916.4</v>
          </cell>
        </row>
        <row r="209">
          <cell r="E209">
            <v>1</v>
          </cell>
          <cell r="F209">
            <v>121.96</v>
          </cell>
          <cell r="K209">
            <v>3</v>
          </cell>
          <cell r="N209">
            <v>121.96</v>
          </cell>
        </row>
        <row r="210">
          <cell r="E210">
            <v>2</v>
          </cell>
          <cell r="F210">
            <v>408.32</v>
          </cell>
          <cell r="K210">
            <v>3</v>
          </cell>
          <cell r="N210">
            <v>816.64</v>
          </cell>
        </row>
        <row r="211">
          <cell r="E211">
            <v>5</v>
          </cell>
          <cell r="F211">
            <v>187.97</v>
          </cell>
          <cell r="K211">
            <v>9</v>
          </cell>
          <cell r="N211">
            <v>939.85</v>
          </cell>
        </row>
        <row r="212">
          <cell r="E212">
            <v>3</v>
          </cell>
          <cell r="F212">
            <v>358.48</v>
          </cell>
          <cell r="K212">
            <v>7</v>
          </cell>
          <cell r="N212">
            <v>1075.44</v>
          </cell>
        </row>
        <row r="213">
          <cell r="E213">
            <v>3</v>
          </cell>
          <cell r="F213">
            <v>193.58</v>
          </cell>
          <cell r="K213">
            <v>7</v>
          </cell>
          <cell r="N213">
            <v>580.74</v>
          </cell>
        </row>
        <row r="214">
          <cell r="E214">
            <v>1</v>
          </cell>
          <cell r="F214">
            <v>265.38</v>
          </cell>
          <cell r="K214">
            <v>6</v>
          </cell>
          <cell r="N214">
            <v>265.38</v>
          </cell>
        </row>
        <row r="215">
          <cell r="E215">
            <v>1</v>
          </cell>
          <cell r="F215">
            <v>634.4</v>
          </cell>
          <cell r="K215">
            <v>6</v>
          </cell>
          <cell r="N215">
            <v>634.4</v>
          </cell>
        </row>
        <row r="216">
          <cell r="E216">
            <v>4</v>
          </cell>
          <cell r="F216">
            <v>305.72000000000003</v>
          </cell>
          <cell r="K216">
            <v>5</v>
          </cell>
          <cell r="N216">
            <v>1222.8800000000001</v>
          </cell>
        </row>
        <row r="217">
          <cell r="E217">
            <v>1</v>
          </cell>
          <cell r="F217">
            <v>303.60000000000002</v>
          </cell>
          <cell r="K217">
            <v>5</v>
          </cell>
          <cell r="N217">
            <v>303.60000000000002</v>
          </cell>
        </row>
        <row r="218">
          <cell r="E218">
            <v>4</v>
          </cell>
          <cell r="F218">
            <v>496</v>
          </cell>
          <cell r="K218">
            <v>8</v>
          </cell>
          <cell r="N218">
            <v>1984</v>
          </cell>
        </row>
        <row r="219">
          <cell r="E219">
            <v>4</v>
          </cell>
          <cell r="F219">
            <v>321.51</v>
          </cell>
          <cell r="K219">
            <v>9</v>
          </cell>
          <cell r="N219">
            <v>1286.04</v>
          </cell>
        </row>
        <row r="220">
          <cell r="E220">
            <v>3</v>
          </cell>
          <cell r="F220">
            <v>112.46</v>
          </cell>
          <cell r="K220">
            <v>6</v>
          </cell>
          <cell r="N220">
            <v>337.38</v>
          </cell>
        </row>
        <row r="221">
          <cell r="E221">
            <v>5</v>
          </cell>
          <cell r="F221">
            <v>61.97</v>
          </cell>
          <cell r="K221">
            <v>6</v>
          </cell>
          <cell r="N221">
            <v>309.85000000000002</v>
          </cell>
        </row>
        <row r="222">
          <cell r="E222">
            <v>2</v>
          </cell>
          <cell r="F222">
            <v>373.17</v>
          </cell>
          <cell r="K222">
            <v>6</v>
          </cell>
          <cell r="N222">
            <v>746.34</v>
          </cell>
        </row>
        <row r="223">
          <cell r="E223">
            <v>5</v>
          </cell>
          <cell r="F223">
            <v>639.37</v>
          </cell>
          <cell r="K223">
            <v>6</v>
          </cell>
          <cell r="N223">
            <v>3196.85</v>
          </cell>
        </row>
        <row r="224">
          <cell r="E224">
            <v>4</v>
          </cell>
          <cell r="F224">
            <v>693.36</v>
          </cell>
          <cell r="K224">
            <v>8</v>
          </cell>
          <cell r="N224">
            <v>2773.44</v>
          </cell>
        </row>
        <row r="225">
          <cell r="E225">
            <v>4</v>
          </cell>
          <cell r="F225">
            <v>692.91</v>
          </cell>
          <cell r="K225">
            <v>9</v>
          </cell>
          <cell r="N225">
            <v>2771.64</v>
          </cell>
        </row>
        <row r="226">
          <cell r="E226">
            <v>4</v>
          </cell>
          <cell r="F226">
            <v>91.46</v>
          </cell>
          <cell r="K226">
            <v>9</v>
          </cell>
          <cell r="N226">
            <v>365.84</v>
          </cell>
        </row>
        <row r="227">
          <cell r="E227">
            <v>3</v>
          </cell>
          <cell r="F227">
            <v>273.95999999999998</v>
          </cell>
          <cell r="K227">
            <v>8</v>
          </cell>
          <cell r="N227">
            <v>821.87999999999988</v>
          </cell>
        </row>
        <row r="228">
          <cell r="E228">
            <v>3</v>
          </cell>
          <cell r="F228">
            <v>588.04999999999995</v>
          </cell>
          <cell r="K228">
            <v>8</v>
          </cell>
          <cell r="N228">
            <v>1764.15</v>
          </cell>
        </row>
        <row r="229">
          <cell r="E229">
            <v>2</v>
          </cell>
          <cell r="F229">
            <v>365.17</v>
          </cell>
          <cell r="K229">
            <v>4</v>
          </cell>
          <cell r="N229">
            <v>730.34</v>
          </cell>
        </row>
        <row r="230">
          <cell r="E230">
            <v>4</v>
          </cell>
          <cell r="F230">
            <v>385.92</v>
          </cell>
          <cell r="K230">
            <v>8</v>
          </cell>
          <cell r="N230">
            <v>1543.68</v>
          </cell>
        </row>
        <row r="231">
          <cell r="E231">
            <v>1</v>
          </cell>
          <cell r="F231">
            <v>562.61</v>
          </cell>
          <cell r="K231">
            <v>3</v>
          </cell>
          <cell r="N231">
            <v>562.61</v>
          </cell>
        </row>
        <row r="232">
          <cell r="E232">
            <v>4</v>
          </cell>
          <cell r="F232">
            <v>61.91</v>
          </cell>
          <cell r="K232">
            <v>6</v>
          </cell>
          <cell r="N232">
            <v>247.64</v>
          </cell>
        </row>
        <row r="233">
          <cell r="E233">
            <v>4</v>
          </cell>
          <cell r="F233">
            <v>41.9</v>
          </cell>
          <cell r="K233">
            <v>9</v>
          </cell>
          <cell r="N233">
            <v>167.6</v>
          </cell>
        </row>
        <row r="234">
          <cell r="E234">
            <v>4</v>
          </cell>
          <cell r="F234">
            <v>444.44</v>
          </cell>
          <cell r="K234">
            <v>8</v>
          </cell>
          <cell r="N234">
            <v>1777.76</v>
          </cell>
        </row>
        <row r="235">
          <cell r="E235">
            <v>3</v>
          </cell>
          <cell r="F235">
            <v>311.33</v>
          </cell>
          <cell r="K235">
            <v>3</v>
          </cell>
          <cell r="N235">
            <v>933.99</v>
          </cell>
        </row>
        <row r="236">
          <cell r="E236">
            <v>4</v>
          </cell>
          <cell r="F236">
            <v>236.41</v>
          </cell>
          <cell r="K236">
            <v>7</v>
          </cell>
          <cell r="N236">
            <v>945.64</v>
          </cell>
        </row>
        <row r="237">
          <cell r="E237">
            <v>1</v>
          </cell>
          <cell r="F237">
            <v>65.45</v>
          </cell>
          <cell r="K237">
            <v>2</v>
          </cell>
          <cell r="N237">
            <v>65.45</v>
          </cell>
        </row>
        <row r="238">
          <cell r="E238">
            <v>1</v>
          </cell>
          <cell r="F238">
            <v>318.81</v>
          </cell>
          <cell r="K238">
            <v>3</v>
          </cell>
          <cell r="N238">
            <v>318.81</v>
          </cell>
        </row>
        <row r="239">
          <cell r="E239">
            <v>3</v>
          </cell>
          <cell r="F239">
            <v>583.72</v>
          </cell>
          <cell r="K239">
            <v>5</v>
          </cell>
          <cell r="N239">
            <v>1751.16</v>
          </cell>
        </row>
        <row r="240">
          <cell r="E240">
            <v>4</v>
          </cell>
          <cell r="F240">
            <v>384.32</v>
          </cell>
          <cell r="K240">
            <v>6</v>
          </cell>
          <cell r="N240">
            <v>1537.28</v>
          </cell>
        </row>
        <row r="241">
          <cell r="E241">
            <v>3</v>
          </cell>
          <cell r="F241">
            <v>538.74</v>
          </cell>
          <cell r="K241">
            <v>6</v>
          </cell>
          <cell r="N241">
            <v>1616.22</v>
          </cell>
        </row>
        <row r="242">
          <cell r="E242">
            <v>1</v>
          </cell>
          <cell r="F242">
            <v>17.239999999999998</v>
          </cell>
          <cell r="K242">
            <v>2</v>
          </cell>
          <cell r="N242">
            <v>17.239999999999998</v>
          </cell>
        </row>
        <row r="243">
          <cell r="E243">
            <v>5</v>
          </cell>
          <cell r="F243">
            <v>615.66999999999996</v>
          </cell>
          <cell r="K243">
            <v>6</v>
          </cell>
          <cell r="N243">
            <v>3078.35</v>
          </cell>
        </row>
        <row r="244">
          <cell r="E244">
            <v>2</v>
          </cell>
          <cell r="F244">
            <v>219.1</v>
          </cell>
          <cell r="K244">
            <v>4</v>
          </cell>
          <cell r="N244">
            <v>438.2</v>
          </cell>
        </row>
        <row r="245">
          <cell r="E245">
            <v>2</v>
          </cell>
          <cell r="F245">
            <v>144.66</v>
          </cell>
          <cell r="K245">
            <v>7</v>
          </cell>
          <cell r="N245">
            <v>289.32</v>
          </cell>
        </row>
        <row r="246">
          <cell r="E246">
            <v>2</v>
          </cell>
          <cell r="F246">
            <v>317.77</v>
          </cell>
          <cell r="K246">
            <v>4</v>
          </cell>
          <cell r="N246">
            <v>635.54</v>
          </cell>
        </row>
        <row r="247">
          <cell r="E247">
            <v>1</v>
          </cell>
          <cell r="F247">
            <v>223.3</v>
          </cell>
          <cell r="K247">
            <v>1</v>
          </cell>
          <cell r="N247">
            <v>223.3</v>
          </cell>
        </row>
        <row r="248">
          <cell r="E248">
            <v>2</v>
          </cell>
          <cell r="F248">
            <v>342.11</v>
          </cell>
          <cell r="K248">
            <v>2</v>
          </cell>
          <cell r="N248">
            <v>684.22</v>
          </cell>
        </row>
        <row r="249">
          <cell r="E249">
            <v>2</v>
          </cell>
          <cell r="F249">
            <v>220.9</v>
          </cell>
          <cell r="K249">
            <v>4</v>
          </cell>
          <cell r="N249">
            <v>441.8</v>
          </cell>
        </row>
        <row r="250">
          <cell r="E250">
            <v>1</v>
          </cell>
          <cell r="F250">
            <v>670.54</v>
          </cell>
          <cell r="K250">
            <v>6</v>
          </cell>
          <cell r="N250">
            <v>670.54</v>
          </cell>
        </row>
        <row r="251">
          <cell r="E251">
            <v>1</v>
          </cell>
          <cell r="F251">
            <v>546.19000000000005</v>
          </cell>
          <cell r="K251">
            <v>5</v>
          </cell>
          <cell r="N251">
            <v>546.19000000000005</v>
          </cell>
        </row>
        <row r="252">
          <cell r="E252">
            <v>3</v>
          </cell>
          <cell r="F252">
            <v>42.95</v>
          </cell>
          <cell r="K252">
            <v>8</v>
          </cell>
          <cell r="N252">
            <v>128.85</v>
          </cell>
        </row>
        <row r="253">
          <cell r="E253">
            <v>4</v>
          </cell>
          <cell r="F253">
            <v>14.69</v>
          </cell>
          <cell r="K253">
            <v>9</v>
          </cell>
          <cell r="N253">
            <v>58.76</v>
          </cell>
        </row>
        <row r="254">
          <cell r="E254">
            <v>4</v>
          </cell>
          <cell r="F254">
            <v>668.36</v>
          </cell>
          <cell r="K254">
            <v>5</v>
          </cell>
          <cell r="N254">
            <v>2673.44</v>
          </cell>
        </row>
        <row r="255">
          <cell r="E255">
            <v>4</v>
          </cell>
          <cell r="F255">
            <v>413.74</v>
          </cell>
          <cell r="K255">
            <v>7</v>
          </cell>
          <cell r="N255">
            <v>1654.96</v>
          </cell>
        </row>
        <row r="256">
          <cell r="E256">
            <v>3</v>
          </cell>
          <cell r="F256">
            <v>263.19</v>
          </cell>
          <cell r="K256">
            <v>5</v>
          </cell>
          <cell r="N256">
            <v>789.56999999999994</v>
          </cell>
        </row>
        <row r="257">
          <cell r="E257">
            <v>1</v>
          </cell>
          <cell r="F257">
            <v>263.95999999999998</v>
          </cell>
          <cell r="K257">
            <v>2</v>
          </cell>
          <cell r="N257">
            <v>263.95999999999998</v>
          </cell>
        </row>
        <row r="258">
          <cell r="E258">
            <v>5</v>
          </cell>
          <cell r="F258">
            <v>75.81</v>
          </cell>
          <cell r="K258">
            <v>10</v>
          </cell>
          <cell r="N258">
            <v>379.05</v>
          </cell>
        </row>
        <row r="259">
          <cell r="E259">
            <v>1</v>
          </cell>
          <cell r="F259">
            <v>406.22</v>
          </cell>
          <cell r="K259">
            <v>5</v>
          </cell>
          <cell r="N259">
            <v>406.22</v>
          </cell>
        </row>
        <row r="260">
          <cell r="E260">
            <v>2</v>
          </cell>
          <cell r="F260">
            <v>103.41</v>
          </cell>
          <cell r="K260">
            <v>2</v>
          </cell>
          <cell r="N260">
            <v>206.82</v>
          </cell>
        </row>
        <row r="261">
          <cell r="E261">
            <v>4</v>
          </cell>
          <cell r="F261">
            <v>435.12</v>
          </cell>
          <cell r="K261">
            <v>9</v>
          </cell>
          <cell r="N261">
            <v>1740.48</v>
          </cell>
        </row>
        <row r="262">
          <cell r="E262">
            <v>2</v>
          </cell>
          <cell r="F262">
            <v>407.79</v>
          </cell>
          <cell r="K262">
            <v>3</v>
          </cell>
          <cell r="N262">
            <v>815.58</v>
          </cell>
        </row>
        <row r="263">
          <cell r="E263">
            <v>5</v>
          </cell>
          <cell r="F263">
            <v>173.65</v>
          </cell>
          <cell r="K263">
            <v>9</v>
          </cell>
          <cell r="N263">
            <v>868.25</v>
          </cell>
        </row>
        <row r="264">
          <cell r="E264">
            <v>4</v>
          </cell>
          <cell r="F264">
            <v>249.07</v>
          </cell>
          <cell r="K264">
            <v>5</v>
          </cell>
          <cell r="N264">
            <v>996.28</v>
          </cell>
        </row>
        <row r="265">
          <cell r="E265">
            <v>4</v>
          </cell>
          <cell r="F265">
            <v>434.85</v>
          </cell>
          <cell r="K265">
            <v>4</v>
          </cell>
          <cell r="N265">
            <v>1739.4</v>
          </cell>
        </row>
        <row r="266">
          <cell r="E266">
            <v>1</v>
          </cell>
          <cell r="F266">
            <v>436.77</v>
          </cell>
          <cell r="K266">
            <v>5</v>
          </cell>
          <cell r="N266">
            <v>436.77</v>
          </cell>
        </row>
        <row r="267">
          <cell r="E267">
            <v>1</v>
          </cell>
          <cell r="F267">
            <v>572.13</v>
          </cell>
          <cell r="K267">
            <v>4</v>
          </cell>
          <cell r="N267">
            <v>572.13</v>
          </cell>
        </row>
        <row r="268">
          <cell r="E268">
            <v>4</v>
          </cell>
          <cell r="F268">
            <v>583.07000000000005</v>
          </cell>
          <cell r="K268">
            <v>6</v>
          </cell>
          <cell r="N268">
            <v>2332.2800000000002</v>
          </cell>
        </row>
        <row r="269">
          <cell r="E269">
            <v>5</v>
          </cell>
          <cell r="F269">
            <v>468.51</v>
          </cell>
          <cell r="K269">
            <v>9</v>
          </cell>
          <cell r="N269">
            <v>2342.5500000000002</v>
          </cell>
        </row>
        <row r="270">
          <cell r="E270">
            <v>2</v>
          </cell>
          <cell r="F270">
            <v>423.88</v>
          </cell>
          <cell r="K270">
            <v>7</v>
          </cell>
          <cell r="N270">
            <v>847.76</v>
          </cell>
        </row>
        <row r="271">
          <cell r="E271">
            <v>4</v>
          </cell>
          <cell r="F271">
            <v>663.67</v>
          </cell>
          <cell r="K271">
            <v>7</v>
          </cell>
          <cell r="N271">
            <v>2654.68</v>
          </cell>
        </row>
        <row r="272">
          <cell r="E272">
            <v>4</v>
          </cell>
          <cell r="F272">
            <v>309.91000000000003</v>
          </cell>
          <cell r="K272">
            <v>5</v>
          </cell>
          <cell r="N272">
            <v>1239.6400000000001</v>
          </cell>
        </row>
        <row r="273">
          <cell r="E273">
            <v>1</v>
          </cell>
          <cell r="F273">
            <v>542.07000000000005</v>
          </cell>
          <cell r="K273">
            <v>6</v>
          </cell>
          <cell r="N273">
            <v>542.07000000000005</v>
          </cell>
        </row>
        <row r="274">
          <cell r="E274">
            <v>2</v>
          </cell>
          <cell r="F274">
            <v>399.32</v>
          </cell>
          <cell r="K274">
            <v>6</v>
          </cell>
          <cell r="N274">
            <v>798.64</v>
          </cell>
        </row>
        <row r="275">
          <cell r="E275">
            <v>2</v>
          </cell>
          <cell r="F275">
            <v>238.25</v>
          </cell>
          <cell r="K275">
            <v>7</v>
          </cell>
          <cell r="N275">
            <v>476.5</v>
          </cell>
        </row>
        <row r="276">
          <cell r="E276">
            <v>2</v>
          </cell>
          <cell r="F276">
            <v>182.4</v>
          </cell>
          <cell r="K276">
            <v>5</v>
          </cell>
          <cell r="N276">
            <v>364.8</v>
          </cell>
        </row>
        <row r="277">
          <cell r="E277">
            <v>2</v>
          </cell>
          <cell r="F277">
            <v>65.069999999999993</v>
          </cell>
          <cell r="K277">
            <v>4</v>
          </cell>
          <cell r="N277">
            <v>130.13999999999999</v>
          </cell>
        </row>
        <row r="278">
          <cell r="E278">
            <v>2</v>
          </cell>
          <cell r="F278">
            <v>600.57000000000005</v>
          </cell>
          <cell r="K278">
            <v>3</v>
          </cell>
          <cell r="N278">
            <v>1201.1400000000001</v>
          </cell>
        </row>
        <row r="279">
          <cell r="E279">
            <v>5</v>
          </cell>
          <cell r="F279">
            <v>90.92</v>
          </cell>
          <cell r="K279">
            <v>9</v>
          </cell>
          <cell r="N279">
            <v>454.6</v>
          </cell>
        </row>
        <row r="280">
          <cell r="E280">
            <v>5</v>
          </cell>
          <cell r="F280">
            <v>362.46</v>
          </cell>
          <cell r="K280">
            <v>6</v>
          </cell>
          <cell r="N280">
            <v>1812.3</v>
          </cell>
        </row>
        <row r="281">
          <cell r="E281">
            <v>3</v>
          </cell>
          <cell r="F281">
            <v>55.01</v>
          </cell>
          <cell r="K281">
            <v>7</v>
          </cell>
          <cell r="N281">
            <v>165.03</v>
          </cell>
        </row>
        <row r="282">
          <cell r="E282">
            <v>3</v>
          </cell>
          <cell r="F282">
            <v>404.62</v>
          </cell>
          <cell r="K282">
            <v>6</v>
          </cell>
          <cell r="N282">
            <v>1213.8599999999999</v>
          </cell>
        </row>
        <row r="283">
          <cell r="E283">
            <v>4</v>
          </cell>
          <cell r="F283">
            <v>654.79</v>
          </cell>
          <cell r="K283">
            <v>9</v>
          </cell>
          <cell r="N283">
            <v>2619.16</v>
          </cell>
        </row>
        <row r="284">
          <cell r="E284">
            <v>4</v>
          </cell>
          <cell r="F284">
            <v>637.79</v>
          </cell>
          <cell r="K284">
            <v>9</v>
          </cell>
          <cell r="N284">
            <v>2551.16</v>
          </cell>
        </row>
        <row r="285">
          <cell r="E285">
            <v>4</v>
          </cell>
          <cell r="F285">
            <v>540.33000000000004</v>
          </cell>
          <cell r="K285">
            <v>6</v>
          </cell>
          <cell r="N285">
            <v>2161.3200000000002</v>
          </cell>
        </row>
        <row r="286">
          <cell r="E286">
            <v>5</v>
          </cell>
          <cell r="F286">
            <v>208.17</v>
          </cell>
          <cell r="K286">
            <v>6</v>
          </cell>
          <cell r="N286">
            <v>1040.8499999999999</v>
          </cell>
        </row>
        <row r="287">
          <cell r="E287">
            <v>1</v>
          </cell>
          <cell r="F287">
            <v>338.31</v>
          </cell>
          <cell r="K287">
            <v>3</v>
          </cell>
          <cell r="N287">
            <v>338.31</v>
          </cell>
        </row>
        <row r="288">
          <cell r="E288">
            <v>3</v>
          </cell>
          <cell r="F288">
            <v>139.44999999999999</v>
          </cell>
          <cell r="K288">
            <v>8</v>
          </cell>
          <cell r="N288">
            <v>418.35</v>
          </cell>
        </row>
        <row r="289">
          <cell r="E289">
            <v>4</v>
          </cell>
          <cell r="F289">
            <v>655.17999999999995</v>
          </cell>
          <cell r="K289">
            <v>5</v>
          </cell>
          <cell r="N289">
            <v>2620.7199999999998</v>
          </cell>
        </row>
        <row r="290">
          <cell r="E290">
            <v>4</v>
          </cell>
          <cell r="F290">
            <v>512.75</v>
          </cell>
          <cell r="K290">
            <v>8</v>
          </cell>
          <cell r="N290">
            <v>2051</v>
          </cell>
        </row>
        <row r="291">
          <cell r="E291">
            <v>4</v>
          </cell>
          <cell r="F291">
            <v>160.49</v>
          </cell>
          <cell r="K291">
            <v>8</v>
          </cell>
          <cell r="N291">
            <v>641.96</v>
          </cell>
        </row>
        <row r="292">
          <cell r="E292">
            <v>3</v>
          </cell>
          <cell r="F292">
            <v>99.9</v>
          </cell>
          <cell r="K292">
            <v>8</v>
          </cell>
          <cell r="N292">
            <v>299.7</v>
          </cell>
        </row>
        <row r="293">
          <cell r="E293">
            <v>2</v>
          </cell>
          <cell r="F293">
            <v>345.01</v>
          </cell>
          <cell r="K293">
            <v>6</v>
          </cell>
          <cell r="N293">
            <v>690.02</v>
          </cell>
        </row>
        <row r="294">
          <cell r="E294">
            <v>1</v>
          </cell>
          <cell r="F294">
            <v>65.95</v>
          </cell>
          <cell r="K294">
            <v>5</v>
          </cell>
          <cell r="N294">
            <v>65.95</v>
          </cell>
        </row>
        <row r="295">
          <cell r="E295">
            <v>4</v>
          </cell>
          <cell r="F295">
            <v>463.04</v>
          </cell>
          <cell r="K295">
            <v>9</v>
          </cell>
          <cell r="N295">
            <v>1852.16</v>
          </cell>
        </row>
        <row r="296">
          <cell r="E296">
            <v>2</v>
          </cell>
          <cell r="F296">
            <v>297.70999999999998</v>
          </cell>
          <cell r="K296">
            <v>7</v>
          </cell>
          <cell r="N296">
            <v>595.41999999999996</v>
          </cell>
        </row>
        <row r="297">
          <cell r="E297">
            <v>5</v>
          </cell>
          <cell r="F297">
            <v>107.48</v>
          </cell>
          <cell r="K297">
            <v>9</v>
          </cell>
          <cell r="N297">
            <v>537.4</v>
          </cell>
        </row>
        <row r="298">
          <cell r="E298">
            <v>5</v>
          </cell>
          <cell r="F298">
            <v>638.79999999999995</v>
          </cell>
          <cell r="K298">
            <v>10</v>
          </cell>
          <cell r="N298">
            <v>3194</v>
          </cell>
        </row>
        <row r="299">
          <cell r="E299">
            <v>2</v>
          </cell>
          <cell r="F299">
            <v>493.88</v>
          </cell>
          <cell r="K299">
            <v>7</v>
          </cell>
          <cell r="N299">
            <v>987.76</v>
          </cell>
        </row>
        <row r="300">
          <cell r="E300">
            <v>4</v>
          </cell>
          <cell r="F300">
            <v>301.17</v>
          </cell>
          <cell r="K300">
            <v>6</v>
          </cell>
          <cell r="N300">
            <v>1204.68</v>
          </cell>
        </row>
        <row r="301">
          <cell r="E301">
            <v>1</v>
          </cell>
          <cell r="F301">
            <v>278.66000000000003</v>
          </cell>
          <cell r="K301">
            <v>2</v>
          </cell>
          <cell r="N301">
            <v>278.66000000000003</v>
          </cell>
        </row>
        <row r="302">
          <cell r="E302">
            <v>1</v>
          </cell>
          <cell r="F302">
            <v>287.45999999999998</v>
          </cell>
          <cell r="K302">
            <v>3</v>
          </cell>
          <cell r="N302">
            <v>287.45999999999998</v>
          </cell>
        </row>
        <row r="303">
          <cell r="E303">
            <v>1</v>
          </cell>
          <cell r="F303">
            <v>583.99</v>
          </cell>
          <cell r="K303">
            <v>2</v>
          </cell>
          <cell r="N303">
            <v>583.99</v>
          </cell>
        </row>
        <row r="304">
          <cell r="E304">
            <v>3</v>
          </cell>
          <cell r="F304">
            <v>468.74</v>
          </cell>
          <cell r="K304">
            <v>4</v>
          </cell>
          <cell r="N304">
            <v>1406.22</v>
          </cell>
        </row>
        <row r="305">
          <cell r="E305">
            <v>1</v>
          </cell>
          <cell r="F305">
            <v>30.54</v>
          </cell>
          <cell r="K305">
            <v>1</v>
          </cell>
          <cell r="N305">
            <v>30.54</v>
          </cell>
        </row>
        <row r="306">
          <cell r="E306">
            <v>5</v>
          </cell>
          <cell r="F306">
            <v>408.73</v>
          </cell>
          <cell r="K306">
            <v>10</v>
          </cell>
          <cell r="N306">
            <v>2043.65</v>
          </cell>
        </row>
        <row r="307">
          <cell r="E307">
            <v>4</v>
          </cell>
          <cell r="F307">
            <v>126.89</v>
          </cell>
          <cell r="K307">
            <v>9</v>
          </cell>
          <cell r="N307">
            <v>507.56</v>
          </cell>
        </row>
        <row r="308">
          <cell r="E308">
            <v>2</v>
          </cell>
          <cell r="F308">
            <v>57.07</v>
          </cell>
          <cell r="K308">
            <v>3</v>
          </cell>
          <cell r="N308">
            <v>114.14</v>
          </cell>
        </row>
        <row r="309">
          <cell r="E309">
            <v>3</v>
          </cell>
          <cell r="F309">
            <v>557.41</v>
          </cell>
          <cell r="K309">
            <v>4</v>
          </cell>
          <cell r="N309">
            <v>1672.23</v>
          </cell>
        </row>
        <row r="310">
          <cell r="E310">
            <v>3</v>
          </cell>
          <cell r="F310">
            <v>448.9</v>
          </cell>
          <cell r="K310">
            <v>7</v>
          </cell>
          <cell r="N310">
            <v>1346.7</v>
          </cell>
        </row>
        <row r="311">
          <cell r="E311">
            <v>4</v>
          </cell>
          <cell r="F311">
            <v>549.76</v>
          </cell>
          <cell r="K311">
            <v>4</v>
          </cell>
          <cell r="N311">
            <v>2199.04</v>
          </cell>
        </row>
        <row r="312">
          <cell r="E312">
            <v>3</v>
          </cell>
          <cell r="F312">
            <v>132.47999999999999</v>
          </cell>
          <cell r="K312">
            <v>4</v>
          </cell>
          <cell r="N312">
            <v>397.43999999999988</v>
          </cell>
        </row>
        <row r="313">
          <cell r="E313">
            <v>5</v>
          </cell>
          <cell r="F313">
            <v>489.37</v>
          </cell>
          <cell r="K313">
            <v>8</v>
          </cell>
          <cell r="N313">
            <v>2446.85</v>
          </cell>
        </row>
        <row r="314">
          <cell r="E314">
            <v>5</v>
          </cell>
          <cell r="F314">
            <v>66.31</v>
          </cell>
          <cell r="K314">
            <v>7</v>
          </cell>
          <cell r="N314">
            <v>331.55</v>
          </cell>
        </row>
        <row r="315">
          <cell r="E315">
            <v>2</v>
          </cell>
          <cell r="F315">
            <v>434.3</v>
          </cell>
          <cell r="K315">
            <v>7</v>
          </cell>
          <cell r="N315">
            <v>868.6</v>
          </cell>
        </row>
        <row r="316">
          <cell r="E316">
            <v>4</v>
          </cell>
          <cell r="F316">
            <v>153.09</v>
          </cell>
          <cell r="K316">
            <v>4</v>
          </cell>
          <cell r="N316">
            <v>612.36</v>
          </cell>
        </row>
        <row r="317">
          <cell r="E317">
            <v>5</v>
          </cell>
          <cell r="F317">
            <v>91.67</v>
          </cell>
          <cell r="K317">
            <v>9</v>
          </cell>
          <cell r="N317">
            <v>458.35</v>
          </cell>
        </row>
        <row r="318">
          <cell r="E318">
            <v>4</v>
          </cell>
          <cell r="F318">
            <v>275.27999999999997</v>
          </cell>
          <cell r="K318">
            <v>9</v>
          </cell>
          <cell r="N318">
            <v>1101.1199999999999</v>
          </cell>
        </row>
        <row r="319">
          <cell r="E319">
            <v>2</v>
          </cell>
          <cell r="F319">
            <v>139.94999999999999</v>
          </cell>
          <cell r="K319">
            <v>5</v>
          </cell>
          <cell r="N319">
            <v>279.89999999999998</v>
          </cell>
        </row>
        <row r="320">
          <cell r="E320">
            <v>3</v>
          </cell>
          <cell r="F320">
            <v>148.72</v>
          </cell>
          <cell r="K320">
            <v>7</v>
          </cell>
          <cell r="N320">
            <v>446.16</v>
          </cell>
        </row>
        <row r="321">
          <cell r="E321">
            <v>2</v>
          </cell>
          <cell r="F321">
            <v>563.05999999999995</v>
          </cell>
          <cell r="K321">
            <v>6</v>
          </cell>
          <cell r="N321">
            <v>1126.1199999999999</v>
          </cell>
        </row>
        <row r="322">
          <cell r="E322">
            <v>1</v>
          </cell>
          <cell r="F322">
            <v>625.51</v>
          </cell>
          <cell r="K322">
            <v>1</v>
          </cell>
          <cell r="N322">
            <v>625.51</v>
          </cell>
        </row>
        <row r="323">
          <cell r="E323">
            <v>4</v>
          </cell>
          <cell r="F323">
            <v>152.29</v>
          </cell>
          <cell r="K323">
            <v>6</v>
          </cell>
          <cell r="N323">
            <v>609.16</v>
          </cell>
        </row>
        <row r="324">
          <cell r="E324">
            <v>5</v>
          </cell>
          <cell r="F324">
            <v>231.82</v>
          </cell>
          <cell r="K324">
            <v>6</v>
          </cell>
          <cell r="N324">
            <v>1159.0999999999999</v>
          </cell>
        </row>
        <row r="325">
          <cell r="E325">
            <v>1</v>
          </cell>
          <cell r="F325">
            <v>150.16999999999999</v>
          </cell>
          <cell r="K325">
            <v>1</v>
          </cell>
          <cell r="N325">
            <v>150.16999999999999</v>
          </cell>
        </row>
        <row r="326">
          <cell r="E326">
            <v>3</v>
          </cell>
          <cell r="F326">
            <v>70.930000000000007</v>
          </cell>
          <cell r="K326">
            <v>5</v>
          </cell>
          <cell r="N326">
            <v>212.79</v>
          </cell>
        </row>
        <row r="327">
          <cell r="E327">
            <v>3</v>
          </cell>
          <cell r="F327">
            <v>361.39</v>
          </cell>
          <cell r="K327">
            <v>8</v>
          </cell>
          <cell r="N327">
            <v>1084.17</v>
          </cell>
        </row>
        <row r="328">
          <cell r="E328">
            <v>5</v>
          </cell>
          <cell r="F328">
            <v>670.48</v>
          </cell>
          <cell r="K328">
            <v>5</v>
          </cell>
          <cell r="N328">
            <v>3352.4</v>
          </cell>
        </row>
        <row r="329">
          <cell r="E329">
            <v>1</v>
          </cell>
          <cell r="F329">
            <v>359.99</v>
          </cell>
          <cell r="K329">
            <v>5</v>
          </cell>
          <cell r="N329">
            <v>359.99</v>
          </cell>
        </row>
        <row r="330">
          <cell r="E330">
            <v>5</v>
          </cell>
          <cell r="F330">
            <v>674.04</v>
          </cell>
          <cell r="K330">
            <v>7</v>
          </cell>
          <cell r="N330">
            <v>3370.2</v>
          </cell>
        </row>
        <row r="331">
          <cell r="E331">
            <v>4</v>
          </cell>
          <cell r="F331">
            <v>283.16000000000003</v>
          </cell>
          <cell r="K331">
            <v>6</v>
          </cell>
          <cell r="N331">
            <v>1132.6400000000001</v>
          </cell>
        </row>
        <row r="332">
          <cell r="E332">
            <v>5</v>
          </cell>
          <cell r="F332">
            <v>260.52999999999997</v>
          </cell>
          <cell r="K332">
            <v>5</v>
          </cell>
          <cell r="N332">
            <v>1302.6500000000001</v>
          </cell>
        </row>
        <row r="333">
          <cell r="E333">
            <v>3</v>
          </cell>
          <cell r="F333">
            <v>422.13</v>
          </cell>
          <cell r="K333">
            <v>7</v>
          </cell>
          <cell r="N333">
            <v>1266.3900000000001</v>
          </cell>
        </row>
        <row r="334">
          <cell r="E334">
            <v>5</v>
          </cell>
          <cell r="F334">
            <v>125.02</v>
          </cell>
          <cell r="K334">
            <v>9</v>
          </cell>
          <cell r="N334">
            <v>625.1</v>
          </cell>
        </row>
        <row r="335">
          <cell r="E335">
            <v>1</v>
          </cell>
          <cell r="F335">
            <v>198.51</v>
          </cell>
          <cell r="K335">
            <v>5</v>
          </cell>
          <cell r="N335">
            <v>198.51</v>
          </cell>
        </row>
        <row r="336">
          <cell r="E336">
            <v>4</v>
          </cell>
          <cell r="F336">
            <v>224.75</v>
          </cell>
          <cell r="K336">
            <v>7</v>
          </cell>
          <cell r="N336">
            <v>899</v>
          </cell>
        </row>
        <row r="337">
          <cell r="E337">
            <v>3</v>
          </cell>
          <cell r="F337">
            <v>205.86</v>
          </cell>
          <cell r="K337">
            <v>4</v>
          </cell>
          <cell r="N337">
            <v>617.58000000000004</v>
          </cell>
        </row>
        <row r="338">
          <cell r="E338">
            <v>1</v>
          </cell>
          <cell r="F338">
            <v>18.2</v>
          </cell>
          <cell r="K338">
            <v>4</v>
          </cell>
          <cell r="N338">
            <v>18.2</v>
          </cell>
        </row>
        <row r="339">
          <cell r="E339">
            <v>3</v>
          </cell>
          <cell r="F339">
            <v>502.77</v>
          </cell>
          <cell r="K339">
            <v>8</v>
          </cell>
          <cell r="N339">
            <v>1508.31</v>
          </cell>
        </row>
        <row r="340">
          <cell r="E340">
            <v>5</v>
          </cell>
          <cell r="F340">
            <v>305.49</v>
          </cell>
          <cell r="K340">
            <v>10</v>
          </cell>
          <cell r="N340">
            <v>1527.45</v>
          </cell>
        </row>
        <row r="341">
          <cell r="E341">
            <v>2</v>
          </cell>
          <cell r="F341">
            <v>236.33</v>
          </cell>
          <cell r="K341">
            <v>3</v>
          </cell>
          <cell r="N341">
            <v>472.66</v>
          </cell>
        </row>
        <row r="342">
          <cell r="E342">
            <v>5</v>
          </cell>
          <cell r="F342">
            <v>521.25</v>
          </cell>
          <cell r="K342">
            <v>8</v>
          </cell>
          <cell r="N342">
            <v>2606.25</v>
          </cell>
        </row>
        <row r="343">
          <cell r="E343">
            <v>1</v>
          </cell>
          <cell r="F343">
            <v>167.15</v>
          </cell>
          <cell r="K343">
            <v>5</v>
          </cell>
          <cell r="N343">
            <v>167.15</v>
          </cell>
        </row>
        <row r="344">
          <cell r="E344">
            <v>5</v>
          </cell>
          <cell r="F344">
            <v>466.42</v>
          </cell>
          <cell r="K344">
            <v>5</v>
          </cell>
          <cell r="N344">
            <v>2332.1</v>
          </cell>
        </row>
        <row r="345">
          <cell r="E345">
            <v>1</v>
          </cell>
          <cell r="F345">
            <v>527.57000000000005</v>
          </cell>
          <cell r="K345">
            <v>3</v>
          </cell>
          <cell r="N345">
            <v>527.57000000000005</v>
          </cell>
        </row>
        <row r="346">
          <cell r="E346">
            <v>3</v>
          </cell>
          <cell r="F346">
            <v>623.34</v>
          </cell>
          <cell r="K346">
            <v>3</v>
          </cell>
          <cell r="N346">
            <v>1870.02</v>
          </cell>
        </row>
        <row r="347">
          <cell r="E347">
            <v>5</v>
          </cell>
          <cell r="F347">
            <v>501.26</v>
          </cell>
          <cell r="K347">
            <v>10</v>
          </cell>
          <cell r="N347">
            <v>2506.3000000000002</v>
          </cell>
        </row>
        <row r="348">
          <cell r="E348">
            <v>1</v>
          </cell>
          <cell r="F348">
            <v>655.09</v>
          </cell>
          <cell r="K348">
            <v>6</v>
          </cell>
          <cell r="N348">
            <v>655.09</v>
          </cell>
        </row>
        <row r="349">
          <cell r="E349">
            <v>4</v>
          </cell>
          <cell r="F349">
            <v>264.79000000000002</v>
          </cell>
          <cell r="K349">
            <v>5</v>
          </cell>
          <cell r="N349">
            <v>1059.1600000000001</v>
          </cell>
        </row>
        <row r="350">
          <cell r="E350">
            <v>3</v>
          </cell>
          <cell r="F350">
            <v>359.73</v>
          </cell>
          <cell r="K350">
            <v>7</v>
          </cell>
          <cell r="N350">
            <v>1079.19</v>
          </cell>
        </row>
        <row r="351">
          <cell r="E351">
            <v>1</v>
          </cell>
          <cell r="F351">
            <v>465.33</v>
          </cell>
          <cell r="K351">
            <v>2</v>
          </cell>
          <cell r="N351">
            <v>465.33</v>
          </cell>
        </row>
        <row r="352">
          <cell r="E352">
            <v>2</v>
          </cell>
          <cell r="F352">
            <v>54.41</v>
          </cell>
          <cell r="K352">
            <v>6</v>
          </cell>
          <cell r="N352">
            <v>108.82</v>
          </cell>
        </row>
        <row r="353">
          <cell r="E353">
            <v>1</v>
          </cell>
          <cell r="F353">
            <v>64.66</v>
          </cell>
          <cell r="K353">
            <v>4</v>
          </cell>
          <cell r="N353">
            <v>64.66</v>
          </cell>
        </row>
        <row r="354">
          <cell r="E354">
            <v>5</v>
          </cell>
          <cell r="F354">
            <v>173.96</v>
          </cell>
          <cell r="K354">
            <v>8</v>
          </cell>
          <cell r="N354">
            <v>869.80000000000007</v>
          </cell>
        </row>
        <row r="355">
          <cell r="E355">
            <v>1</v>
          </cell>
          <cell r="F355">
            <v>630.82000000000005</v>
          </cell>
          <cell r="K355">
            <v>5</v>
          </cell>
          <cell r="N355">
            <v>630.82000000000005</v>
          </cell>
        </row>
        <row r="356">
          <cell r="E356">
            <v>1</v>
          </cell>
          <cell r="F356">
            <v>693.41</v>
          </cell>
          <cell r="K356">
            <v>4</v>
          </cell>
          <cell r="N356">
            <v>693.41</v>
          </cell>
        </row>
        <row r="357">
          <cell r="E357">
            <v>3</v>
          </cell>
          <cell r="F357">
            <v>433.33</v>
          </cell>
          <cell r="K357">
            <v>4</v>
          </cell>
          <cell r="N357">
            <v>1299.99</v>
          </cell>
        </row>
        <row r="358">
          <cell r="E358">
            <v>5</v>
          </cell>
          <cell r="F358">
            <v>374.58</v>
          </cell>
          <cell r="K358">
            <v>10</v>
          </cell>
          <cell r="N358">
            <v>1872.9</v>
          </cell>
        </row>
        <row r="359">
          <cell r="E359">
            <v>5</v>
          </cell>
          <cell r="F359">
            <v>408.56</v>
          </cell>
          <cell r="K359">
            <v>8</v>
          </cell>
          <cell r="N359">
            <v>2042.8</v>
          </cell>
        </row>
        <row r="360">
          <cell r="E360">
            <v>2</v>
          </cell>
          <cell r="F360">
            <v>183.67</v>
          </cell>
          <cell r="K360">
            <v>3</v>
          </cell>
          <cell r="N360">
            <v>367.34</v>
          </cell>
        </row>
        <row r="361">
          <cell r="E361">
            <v>4</v>
          </cell>
          <cell r="F361">
            <v>606.57000000000005</v>
          </cell>
          <cell r="K361">
            <v>5</v>
          </cell>
          <cell r="N361">
            <v>2426.2800000000002</v>
          </cell>
        </row>
        <row r="362">
          <cell r="E362">
            <v>4</v>
          </cell>
          <cell r="F362">
            <v>589.57000000000005</v>
          </cell>
          <cell r="K362">
            <v>8</v>
          </cell>
          <cell r="N362">
            <v>2358.2800000000002</v>
          </cell>
        </row>
        <row r="363">
          <cell r="E363">
            <v>5</v>
          </cell>
          <cell r="F363">
            <v>659.85</v>
          </cell>
          <cell r="K363">
            <v>9</v>
          </cell>
          <cell r="N363">
            <v>3299.25</v>
          </cell>
        </row>
        <row r="364">
          <cell r="E364">
            <v>4</v>
          </cell>
          <cell r="F364">
            <v>206.84</v>
          </cell>
          <cell r="K364">
            <v>5</v>
          </cell>
          <cell r="N364">
            <v>827.36</v>
          </cell>
        </row>
        <row r="365">
          <cell r="E365">
            <v>5</v>
          </cell>
          <cell r="F365">
            <v>113.87</v>
          </cell>
          <cell r="K365">
            <v>6</v>
          </cell>
          <cell r="N365">
            <v>569.35</v>
          </cell>
        </row>
        <row r="366">
          <cell r="E366">
            <v>5</v>
          </cell>
          <cell r="F366">
            <v>628.74</v>
          </cell>
          <cell r="K366">
            <v>9</v>
          </cell>
          <cell r="N366">
            <v>3143.7</v>
          </cell>
        </row>
        <row r="367">
          <cell r="E367">
            <v>1</v>
          </cell>
          <cell r="F367">
            <v>678.38</v>
          </cell>
          <cell r="K367">
            <v>4</v>
          </cell>
          <cell r="N367">
            <v>678.38</v>
          </cell>
        </row>
        <row r="368">
          <cell r="E368">
            <v>3</v>
          </cell>
          <cell r="F368">
            <v>602.24</v>
          </cell>
          <cell r="K368">
            <v>8</v>
          </cell>
          <cell r="N368">
            <v>1806.72</v>
          </cell>
        </row>
        <row r="369">
          <cell r="E369">
            <v>5</v>
          </cell>
          <cell r="F369">
            <v>658.77</v>
          </cell>
          <cell r="K369">
            <v>10</v>
          </cell>
          <cell r="N369">
            <v>3293.85</v>
          </cell>
        </row>
        <row r="370">
          <cell r="E370">
            <v>3</v>
          </cell>
          <cell r="F370">
            <v>271.02</v>
          </cell>
          <cell r="K370">
            <v>6</v>
          </cell>
          <cell r="N370">
            <v>813.06</v>
          </cell>
        </row>
        <row r="371">
          <cell r="E371">
            <v>5</v>
          </cell>
          <cell r="F371">
            <v>375.25</v>
          </cell>
          <cell r="K371">
            <v>9</v>
          </cell>
          <cell r="N371">
            <v>1876.25</v>
          </cell>
        </row>
        <row r="372">
          <cell r="E372">
            <v>1</v>
          </cell>
          <cell r="F372">
            <v>312.11</v>
          </cell>
          <cell r="K372">
            <v>4</v>
          </cell>
          <cell r="N372">
            <v>312.11</v>
          </cell>
        </row>
        <row r="373">
          <cell r="E373">
            <v>5</v>
          </cell>
          <cell r="F373">
            <v>307.76</v>
          </cell>
          <cell r="K373">
            <v>9</v>
          </cell>
          <cell r="N373">
            <v>1538.8</v>
          </cell>
        </row>
        <row r="374">
          <cell r="E374">
            <v>3</v>
          </cell>
          <cell r="F374">
            <v>483.53</v>
          </cell>
          <cell r="K374">
            <v>4</v>
          </cell>
          <cell r="N374">
            <v>1450.59</v>
          </cell>
        </row>
        <row r="375">
          <cell r="E375">
            <v>3</v>
          </cell>
          <cell r="F375">
            <v>341.15</v>
          </cell>
          <cell r="K375">
            <v>4</v>
          </cell>
          <cell r="N375">
            <v>1023.45</v>
          </cell>
        </row>
        <row r="376">
          <cell r="E376">
            <v>1</v>
          </cell>
          <cell r="F376">
            <v>571.9</v>
          </cell>
          <cell r="K376">
            <v>1</v>
          </cell>
          <cell r="N376">
            <v>571.9</v>
          </cell>
        </row>
        <row r="377">
          <cell r="E377">
            <v>4</v>
          </cell>
          <cell r="F377">
            <v>95.03</v>
          </cell>
          <cell r="K377">
            <v>8</v>
          </cell>
          <cell r="N377">
            <v>380.12</v>
          </cell>
        </row>
        <row r="378">
          <cell r="E378">
            <v>5</v>
          </cell>
          <cell r="F378">
            <v>201.22</v>
          </cell>
          <cell r="K378">
            <v>6</v>
          </cell>
          <cell r="N378">
            <v>1006.1</v>
          </cell>
        </row>
        <row r="379">
          <cell r="E379">
            <v>1</v>
          </cell>
          <cell r="F379">
            <v>260.26</v>
          </cell>
          <cell r="K379">
            <v>5</v>
          </cell>
          <cell r="N379">
            <v>260.26</v>
          </cell>
        </row>
        <row r="380">
          <cell r="E380">
            <v>5</v>
          </cell>
          <cell r="F380">
            <v>64.5</v>
          </cell>
          <cell r="K380">
            <v>8</v>
          </cell>
          <cell r="N380">
            <v>322.5</v>
          </cell>
        </row>
        <row r="381">
          <cell r="E381">
            <v>3</v>
          </cell>
          <cell r="F381">
            <v>297.67</v>
          </cell>
          <cell r="K381">
            <v>6</v>
          </cell>
          <cell r="N381">
            <v>893.01</v>
          </cell>
        </row>
        <row r="382">
          <cell r="E382">
            <v>4</v>
          </cell>
          <cell r="F382">
            <v>331.9</v>
          </cell>
          <cell r="K382">
            <v>5</v>
          </cell>
          <cell r="N382">
            <v>1327.6</v>
          </cell>
        </row>
        <row r="383">
          <cell r="E383">
            <v>1</v>
          </cell>
          <cell r="F383">
            <v>191.76</v>
          </cell>
          <cell r="K383">
            <v>1</v>
          </cell>
          <cell r="N383">
            <v>191.76</v>
          </cell>
        </row>
        <row r="384">
          <cell r="E384">
            <v>4</v>
          </cell>
          <cell r="F384">
            <v>263.08999999999997</v>
          </cell>
          <cell r="K384">
            <v>8</v>
          </cell>
          <cell r="N384">
            <v>1052.3599999999999</v>
          </cell>
        </row>
        <row r="385">
          <cell r="E385">
            <v>4</v>
          </cell>
          <cell r="F385">
            <v>393.8</v>
          </cell>
          <cell r="K385">
            <v>7</v>
          </cell>
          <cell r="N385">
            <v>1575.2</v>
          </cell>
        </row>
        <row r="386">
          <cell r="E386">
            <v>3</v>
          </cell>
          <cell r="F386">
            <v>553.57000000000005</v>
          </cell>
          <cell r="K386">
            <v>4</v>
          </cell>
          <cell r="N386">
            <v>1660.71</v>
          </cell>
        </row>
        <row r="387">
          <cell r="E387">
            <v>5</v>
          </cell>
          <cell r="F387">
            <v>191.63</v>
          </cell>
          <cell r="K387">
            <v>6</v>
          </cell>
          <cell r="N387">
            <v>958.15</v>
          </cell>
        </row>
        <row r="388">
          <cell r="E388">
            <v>1</v>
          </cell>
          <cell r="F388">
            <v>93.02</v>
          </cell>
          <cell r="K388">
            <v>4</v>
          </cell>
          <cell r="N388">
            <v>93.02</v>
          </cell>
        </row>
        <row r="389">
          <cell r="E389">
            <v>2</v>
          </cell>
          <cell r="F389">
            <v>39.53</v>
          </cell>
          <cell r="K389">
            <v>3</v>
          </cell>
          <cell r="N389">
            <v>79.06</v>
          </cell>
        </row>
        <row r="390">
          <cell r="E390">
            <v>3</v>
          </cell>
          <cell r="F390">
            <v>633.97</v>
          </cell>
          <cell r="K390">
            <v>7</v>
          </cell>
          <cell r="N390">
            <v>1901.91</v>
          </cell>
        </row>
        <row r="391">
          <cell r="E391">
            <v>4</v>
          </cell>
          <cell r="F391">
            <v>697.5</v>
          </cell>
          <cell r="K391">
            <v>7</v>
          </cell>
          <cell r="N391">
            <v>2790</v>
          </cell>
        </row>
        <row r="392">
          <cell r="E392">
            <v>5</v>
          </cell>
          <cell r="F392">
            <v>508.69</v>
          </cell>
          <cell r="K392">
            <v>10</v>
          </cell>
          <cell r="N392">
            <v>2543.4499999999998</v>
          </cell>
        </row>
        <row r="393">
          <cell r="E393">
            <v>2</v>
          </cell>
          <cell r="F393">
            <v>527.46</v>
          </cell>
          <cell r="K393">
            <v>3</v>
          </cell>
          <cell r="N393">
            <v>1054.92</v>
          </cell>
        </row>
        <row r="394">
          <cell r="E394">
            <v>1</v>
          </cell>
          <cell r="F394">
            <v>627.20000000000005</v>
          </cell>
          <cell r="K394">
            <v>1</v>
          </cell>
          <cell r="N394">
            <v>627.20000000000005</v>
          </cell>
        </row>
        <row r="395">
          <cell r="E395">
            <v>1</v>
          </cell>
          <cell r="F395">
            <v>75.010000000000005</v>
          </cell>
          <cell r="K395">
            <v>3</v>
          </cell>
          <cell r="N395">
            <v>75.010000000000005</v>
          </cell>
        </row>
        <row r="396">
          <cell r="E396">
            <v>5</v>
          </cell>
          <cell r="F396">
            <v>529.54999999999995</v>
          </cell>
          <cell r="K396">
            <v>10</v>
          </cell>
          <cell r="N396">
            <v>2647.75</v>
          </cell>
        </row>
        <row r="397">
          <cell r="E397">
            <v>3</v>
          </cell>
          <cell r="F397">
            <v>127.41</v>
          </cell>
          <cell r="K397">
            <v>7</v>
          </cell>
          <cell r="N397">
            <v>382.23</v>
          </cell>
        </row>
        <row r="398">
          <cell r="E398">
            <v>5</v>
          </cell>
          <cell r="F398">
            <v>287.13</v>
          </cell>
          <cell r="K398">
            <v>10</v>
          </cell>
          <cell r="N398">
            <v>1435.65</v>
          </cell>
        </row>
        <row r="399">
          <cell r="E399">
            <v>1</v>
          </cell>
          <cell r="F399">
            <v>427.06</v>
          </cell>
          <cell r="K399">
            <v>1</v>
          </cell>
          <cell r="N399">
            <v>427.06</v>
          </cell>
        </row>
        <row r="400">
          <cell r="E400">
            <v>5</v>
          </cell>
          <cell r="F400">
            <v>53.93</v>
          </cell>
          <cell r="K400">
            <v>7</v>
          </cell>
          <cell r="N400">
            <v>269.64999999999998</v>
          </cell>
        </row>
        <row r="401">
          <cell r="E401">
            <v>5</v>
          </cell>
          <cell r="F401">
            <v>423.93</v>
          </cell>
          <cell r="K401">
            <v>5</v>
          </cell>
          <cell r="N401">
            <v>2119.65</v>
          </cell>
        </row>
        <row r="402">
          <cell r="E402">
            <v>4</v>
          </cell>
          <cell r="F402">
            <v>160.22</v>
          </cell>
          <cell r="K402">
            <v>9</v>
          </cell>
          <cell r="N402">
            <v>640.88</v>
          </cell>
        </row>
        <row r="403">
          <cell r="E403">
            <v>1</v>
          </cell>
          <cell r="F403">
            <v>538.67999999999995</v>
          </cell>
          <cell r="K403">
            <v>6</v>
          </cell>
          <cell r="N403">
            <v>538.67999999999995</v>
          </cell>
        </row>
        <row r="404">
          <cell r="E404">
            <v>5</v>
          </cell>
          <cell r="F404">
            <v>337.38</v>
          </cell>
          <cell r="K404">
            <v>5</v>
          </cell>
          <cell r="N404">
            <v>1686.9</v>
          </cell>
        </row>
        <row r="405">
          <cell r="E405">
            <v>1</v>
          </cell>
          <cell r="F405">
            <v>620.21</v>
          </cell>
          <cell r="K405">
            <v>1</v>
          </cell>
          <cell r="N405">
            <v>620.21</v>
          </cell>
        </row>
        <row r="406">
          <cell r="E406">
            <v>2</v>
          </cell>
          <cell r="F406">
            <v>99.1</v>
          </cell>
          <cell r="K406">
            <v>6</v>
          </cell>
          <cell r="N406">
            <v>198.2</v>
          </cell>
        </row>
        <row r="407">
          <cell r="E407">
            <v>4</v>
          </cell>
          <cell r="F407">
            <v>451.97</v>
          </cell>
          <cell r="K407">
            <v>7</v>
          </cell>
          <cell r="N407">
            <v>1807.88</v>
          </cell>
        </row>
        <row r="408">
          <cell r="E408">
            <v>4</v>
          </cell>
          <cell r="F408">
            <v>66.099999999999994</v>
          </cell>
          <cell r="K408">
            <v>9</v>
          </cell>
          <cell r="N408">
            <v>264.39999999999998</v>
          </cell>
        </row>
        <row r="409">
          <cell r="E409">
            <v>4</v>
          </cell>
          <cell r="F409">
            <v>547.32000000000005</v>
          </cell>
          <cell r="K409">
            <v>8</v>
          </cell>
          <cell r="N409">
            <v>2189.2800000000002</v>
          </cell>
        </row>
        <row r="410">
          <cell r="E410">
            <v>3</v>
          </cell>
          <cell r="F410">
            <v>412.53</v>
          </cell>
          <cell r="K410">
            <v>6</v>
          </cell>
          <cell r="N410">
            <v>1237.5899999999999</v>
          </cell>
        </row>
        <row r="411">
          <cell r="E411">
            <v>5</v>
          </cell>
          <cell r="F411">
            <v>84.13</v>
          </cell>
          <cell r="K411">
            <v>9</v>
          </cell>
          <cell r="N411">
            <v>420.65</v>
          </cell>
        </row>
        <row r="412">
          <cell r="E412">
            <v>2</v>
          </cell>
          <cell r="F412">
            <v>518.23</v>
          </cell>
          <cell r="K412">
            <v>5</v>
          </cell>
          <cell r="N412">
            <v>1036.46</v>
          </cell>
        </row>
        <row r="413">
          <cell r="E413">
            <v>2</v>
          </cell>
          <cell r="F413">
            <v>39.51</v>
          </cell>
          <cell r="K413">
            <v>5</v>
          </cell>
          <cell r="N413">
            <v>79.02</v>
          </cell>
        </row>
        <row r="414">
          <cell r="E414">
            <v>5</v>
          </cell>
          <cell r="F414">
            <v>133.01</v>
          </cell>
          <cell r="K414">
            <v>10</v>
          </cell>
          <cell r="N414">
            <v>665.05</v>
          </cell>
        </row>
        <row r="415">
          <cell r="E415">
            <v>1</v>
          </cell>
          <cell r="F415">
            <v>118.8</v>
          </cell>
          <cell r="K415">
            <v>6</v>
          </cell>
          <cell r="N415">
            <v>118.8</v>
          </cell>
        </row>
        <row r="416">
          <cell r="E416">
            <v>2</v>
          </cell>
          <cell r="F416">
            <v>139.57</v>
          </cell>
          <cell r="K416">
            <v>4</v>
          </cell>
          <cell r="N416">
            <v>279.14</v>
          </cell>
        </row>
        <row r="417">
          <cell r="E417">
            <v>1</v>
          </cell>
          <cell r="F417">
            <v>184.15</v>
          </cell>
          <cell r="K417">
            <v>5</v>
          </cell>
          <cell r="N417">
            <v>184.15</v>
          </cell>
        </row>
        <row r="418">
          <cell r="E418">
            <v>2</v>
          </cell>
          <cell r="F418">
            <v>644.04999999999995</v>
          </cell>
          <cell r="K418">
            <v>5</v>
          </cell>
          <cell r="N418">
            <v>1288.0999999999999</v>
          </cell>
        </row>
        <row r="419">
          <cell r="E419">
            <v>5</v>
          </cell>
          <cell r="F419">
            <v>55.41</v>
          </cell>
          <cell r="K419">
            <v>5</v>
          </cell>
          <cell r="N419">
            <v>277.05</v>
          </cell>
        </row>
        <row r="420">
          <cell r="E420">
            <v>1</v>
          </cell>
          <cell r="F420">
            <v>310.93</v>
          </cell>
          <cell r="K420">
            <v>3</v>
          </cell>
          <cell r="N420">
            <v>310.93</v>
          </cell>
        </row>
        <row r="421">
          <cell r="E421">
            <v>2</v>
          </cell>
          <cell r="F421">
            <v>216.66</v>
          </cell>
          <cell r="K421">
            <v>6</v>
          </cell>
          <cell r="N421">
            <v>433.32</v>
          </cell>
        </row>
        <row r="422">
          <cell r="E422">
            <v>1</v>
          </cell>
          <cell r="F422">
            <v>452.7</v>
          </cell>
          <cell r="K422">
            <v>5</v>
          </cell>
          <cell r="N422">
            <v>452.7</v>
          </cell>
        </row>
        <row r="423">
          <cell r="E423">
            <v>2</v>
          </cell>
          <cell r="F423">
            <v>288.20999999999998</v>
          </cell>
          <cell r="K423">
            <v>5</v>
          </cell>
          <cell r="N423">
            <v>576.41999999999996</v>
          </cell>
        </row>
        <row r="424">
          <cell r="E424">
            <v>4</v>
          </cell>
          <cell r="F424">
            <v>206.6</v>
          </cell>
          <cell r="K424">
            <v>6</v>
          </cell>
          <cell r="N424">
            <v>826.4</v>
          </cell>
        </row>
        <row r="425">
          <cell r="E425">
            <v>4</v>
          </cell>
          <cell r="F425">
            <v>685.2</v>
          </cell>
          <cell r="K425">
            <v>6</v>
          </cell>
          <cell r="N425">
            <v>2740.8</v>
          </cell>
        </row>
        <row r="426">
          <cell r="E426">
            <v>5</v>
          </cell>
          <cell r="F426">
            <v>22.94</v>
          </cell>
          <cell r="K426">
            <v>10</v>
          </cell>
          <cell r="N426">
            <v>114.7</v>
          </cell>
        </row>
        <row r="427">
          <cell r="E427">
            <v>2</v>
          </cell>
          <cell r="F427">
            <v>301.88</v>
          </cell>
          <cell r="K427">
            <v>5</v>
          </cell>
          <cell r="N427">
            <v>603.76</v>
          </cell>
        </row>
        <row r="428">
          <cell r="E428">
            <v>5</v>
          </cell>
          <cell r="F428">
            <v>57.45</v>
          </cell>
          <cell r="K428">
            <v>10</v>
          </cell>
          <cell r="N428">
            <v>287.25</v>
          </cell>
        </row>
        <row r="429">
          <cell r="E429">
            <v>1</v>
          </cell>
          <cell r="F429">
            <v>161.24</v>
          </cell>
          <cell r="K429">
            <v>3</v>
          </cell>
          <cell r="N429">
            <v>161.24</v>
          </cell>
        </row>
        <row r="430">
          <cell r="E430">
            <v>4</v>
          </cell>
          <cell r="F430">
            <v>262.58</v>
          </cell>
          <cell r="K430">
            <v>8</v>
          </cell>
          <cell r="N430">
            <v>1050.32</v>
          </cell>
        </row>
        <row r="431">
          <cell r="E431">
            <v>4</v>
          </cell>
          <cell r="F431">
            <v>515.19000000000005</v>
          </cell>
          <cell r="K431">
            <v>9</v>
          </cell>
          <cell r="N431">
            <v>2060.7600000000002</v>
          </cell>
        </row>
        <row r="432">
          <cell r="E432">
            <v>1</v>
          </cell>
          <cell r="F432">
            <v>450.07</v>
          </cell>
          <cell r="K432">
            <v>6</v>
          </cell>
          <cell r="N432">
            <v>450.07</v>
          </cell>
        </row>
        <row r="433">
          <cell r="E433">
            <v>1</v>
          </cell>
          <cell r="F433">
            <v>52.54</v>
          </cell>
          <cell r="K433">
            <v>6</v>
          </cell>
          <cell r="N433">
            <v>52.54</v>
          </cell>
        </row>
        <row r="434">
          <cell r="E434">
            <v>2</v>
          </cell>
          <cell r="F434">
            <v>424.32</v>
          </cell>
          <cell r="K434">
            <v>6</v>
          </cell>
          <cell r="N434">
            <v>848.64</v>
          </cell>
        </row>
        <row r="435">
          <cell r="E435">
            <v>3</v>
          </cell>
          <cell r="F435">
            <v>631.64</v>
          </cell>
          <cell r="K435">
            <v>3</v>
          </cell>
          <cell r="N435">
            <v>1894.92</v>
          </cell>
        </row>
        <row r="436">
          <cell r="E436">
            <v>5</v>
          </cell>
          <cell r="F436">
            <v>327.68</v>
          </cell>
          <cell r="K436">
            <v>6</v>
          </cell>
          <cell r="N436">
            <v>1638.4</v>
          </cell>
        </row>
        <row r="437">
          <cell r="E437">
            <v>1</v>
          </cell>
          <cell r="F437">
            <v>414.47</v>
          </cell>
          <cell r="K437">
            <v>3</v>
          </cell>
          <cell r="N437">
            <v>414.47</v>
          </cell>
        </row>
        <row r="438">
          <cell r="E438">
            <v>4</v>
          </cell>
          <cell r="F438">
            <v>221.33</v>
          </cell>
          <cell r="K438">
            <v>5</v>
          </cell>
          <cell r="N438">
            <v>885.32</v>
          </cell>
        </row>
        <row r="439">
          <cell r="E439">
            <v>1</v>
          </cell>
          <cell r="F439">
            <v>512.39</v>
          </cell>
          <cell r="K439">
            <v>2</v>
          </cell>
          <cell r="N439">
            <v>512.39</v>
          </cell>
        </row>
        <row r="440">
          <cell r="E440">
            <v>3</v>
          </cell>
          <cell r="F440">
            <v>459.34</v>
          </cell>
          <cell r="K440">
            <v>3</v>
          </cell>
          <cell r="N440">
            <v>1378.02</v>
          </cell>
        </row>
        <row r="441">
          <cell r="E441">
            <v>1</v>
          </cell>
          <cell r="F441">
            <v>146.32</v>
          </cell>
          <cell r="K441">
            <v>4</v>
          </cell>
          <cell r="N441">
            <v>146.32</v>
          </cell>
        </row>
        <row r="442">
          <cell r="E442">
            <v>4</v>
          </cell>
          <cell r="F442">
            <v>83.6</v>
          </cell>
          <cell r="K442">
            <v>4</v>
          </cell>
          <cell r="N442">
            <v>334.4</v>
          </cell>
        </row>
        <row r="443">
          <cell r="E443">
            <v>2</v>
          </cell>
          <cell r="F443">
            <v>328.54</v>
          </cell>
          <cell r="K443">
            <v>6</v>
          </cell>
          <cell r="N443">
            <v>657.08</v>
          </cell>
        </row>
        <row r="444">
          <cell r="E444">
            <v>5</v>
          </cell>
          <cell r="F444">
            <v>314.94</v>
          </cell>
          <cell r="K444">
            <v>8</v>
          </cell>
          <cell r="N444">
            <v>1574.7</v>
          </cell>
        </row>
        <row r="445">
          <cell r="E445">
            <v>2</v>
          </cell>
          <cell r="F445">
            <v>69.64</v>
          </cell>
          <cell r="K445">
            <v>6</v>
          </cell>
          <cell r="N445">
            <v>139.28</v>
          </cell>
        </row>
        <row r="446">
          <cell r="E446">
            <v>1</v>
          </cell>
          <cell r="F446">
            <v>135.16999999999999</v>
          </cell>
          <cell r="K446">
            <v>6</v>
          </cell>
          <cell r="N446">
            <v>135.16999999999999</v>
          </cell>
        </row>
        <row r="447">
          <cell r="E447">
            <v>1</v>
          </cell>
          <cell r="F447">
            <v>487.21</v>
          </cell>
          <cell r="K447">
            <v>3</v>
          </cell>
          <cell r="N447">
            <v>487.21</v>
          </cell>
        </row>
        <row r="448">
          <cell r="E448">
            <v>5</v>
          </cell>
          <cell r="F448">
            <v>509.58</v>
          </cell>
          <cell r="K448">
            <v>6</v>
          </cell>
          <cell r="N448">
            <v>2547.9</v>
          </cell>
        </row>
        <row r="449">
          <cell r="E449">
            <v>2</v>
          </cell>
          <cell r="F449">
            <v>416.81</v>
          </cell>
          <cell r="K449">
            <v>2</v>
          </cell>
          <cell r="N449">
            <v>833.62</v>
          </cell>
        </row>
        <row r="450">
          <cell r="E450">
            <v>2</v>
          </cell>
          <cell r="F450">
            <v>160</v>
          </cell>
          <cell r="K450">
            <v>4</v>
          </cell>
          <cell r="N450">
            <v>320</v>
          </cell>
        </row>
        <row r="451">
          <cell r="E451">
            <v>3</v>
          </cell>
          <cell r="F451">
            <v>253.05</v>
          </cell>
          <cell r="K451">
            <v>3</v>
          </cell>
          <cell r="N451">
            <v>759.15000000000009</v>
          </cell>
        </row>
        <row r="452">
          <cell r="E452">
            <v>5</v>
          </cell>
          <cell r="F452">
            <v>615.1</v>
          </cell>
          <cell r="K452">
            <v>10</v>
          </cell>
          <cell r="N452">
            <v>3075.5</v>
          </cell>
        </row>
        <row r="453">
          <cell r="E453">
            <v>1</v>
          </cell>
          <cell r="F453">
            <v>183.18</v>
          </cell>
          <cell r="K453">
            <v>6</v>
          </cell>
          <cell r="N453">
            <v>183.18</v>
          </cell>
        </row>
        <row r="454">
          <cell r="E454">
            <v>1</v>
          </cell>
          <cell r="F454">
            <v>75.78</v>
          </cell>
          <cell r="K454">
            <v>5</v>
          </cell>
          <cell r="N454">
            <v>75.78</v>
          </cell>
        </row>
        <row r="455">
          <cell r="E455">
            <v>1</v>
          </cell>
          <cell r="F455">
            <v>675.57</v>
          </cell>
          <cell r="K455">
            <v>1</v>
          </cell>
          <cell r="N455">
            <v>675.57</v>
          </cell>
        </row>
        <row r="456">
          <cell r="E456">
            <v>1</v>
          </cell>
          <cell r="F456">
            <v>109.29</v>
          </cell>
          <cell r="K456">
            <v>5</v>
          </cell>
          <cell r="N456">
            <v>109.29</v>
          </cell>
        </row>
        <row r="457">
          <cell r="E457">
            <v>1</v>
          </cell>
          <cell r="F457">
            <v>639.83000000000004</v>
          </cell>
          <cell r="K457">
            <v>2</v>
          </cell>
          <cell r="N457">
            <v>639.83000000000004</v>
          </cell>
        </row>
        <row r="458">
          <cell r="E458">
            <v>5</v>
          </cell>
          <cell r="F458">
            <v>62.81</v>
          </cell>
          <cell r="K458">
            <v>9</v>
          </cell>
          <cell r="N458">
            <v>314.05</v>
          </cell>
        </row>
        <row r="459">
          <cell r="E459">
            <v>4</v>
          </cell>
          <cell r="F459">
            <v>615.83000000000004</v>
          </cell>
          <cell r="K459">
            <v>4</v>
          </cell>
          <cell r="N459">
            <v>2463.3200000000002</v>
          </cell>
        </row>
        <row r="460">
          <cell r="E460">
            <v>4</v>
          </cell>
          <cell r="F460">
            <v>510.58</v>
          </cell>
          <cell r="K460">
            <v>7</v>
          </cell>
          <cell r="N460">
            <v>2042.32</v>
          </cell>
        </row>
        <row r="461">
          <cell r="E461">
            <v>1</v>
          </cell>
          <cell r="F461">
            <v>334.39</v>
          </cell>
          <cell r="K461">
            <v>2</v>
          </cell>
          <cell r="N461">
            <v>334.39</v>
          </cell>
        </row>
        <row r="462">
          <cell r="E462">
            <v>1</v>
          </cell>
          <cell r="F462">
            <v>144.25</v>
          </cell>
          <cell r="K462">
            <v>2</v>
          </cell>
          <cell r="N462">
            <v>144.25</v>
          </cell>
        </row>
        <row r="463">
          <cell r="E463">
            <v>1</v>
          </cell>
          <cell r="F463">
            <v>401.82</v>
          </cell>
          <cell r="K463">
            <v>5</v>
          </cell>
          <cell r="N463">
            <v>401.82</v>
          </cell>
        </row>
        <row r="464">
          <cell r="E464">
            <v>1</v>
          </cell>
          <cell r="F464">
            <v>252.68</v>
          </cell>
          <cell r="K464">
            <v>1</v>
          </cell>
          <cell r="N464">
            <v>252.68</v>
          </cell>
        </row>
        <row r="465">
          <cell r="E465">
            <v>5</v>
          </cell>
          <cell r="F465">
            <v>662.78</v>
          </cell>
          <cell r="K465">
            <v>9</v>
          </cell>
          <cell r="N465">
            <v>3313.9</v>
          </cell>
        </row>
        <row r="466">
          <cell r="E466">
            <v>4</v>
          </cell>
          <cell r="F466">
            <v>434.42</v>
          </cell>
          <cell r="K466">
            <v>6</v>
          </cell>
          <cell r="N466">
            <v>1737.68</v>
          </cell>
        </row>
        <row r="467">
          <cell r="E467">
            <v>5</v>
          </cell>
          <cell r="F467">
            <v>513.49</v>
          </cell>
          <cell r="K467">
            <v>8</v>
          </cell>
          <cell r="N467">
            <v>2567.4499999999998</v>
          </cell>
        </row>
        <row r="468">
          <cell r="E468">
            <v>1</v>
          </cell>
          <cell r="F468">
            <v>432.47</v>
          </cell>
          <cell r="K468">
            <v>4</v>
          </cell>
          <cell r="N468">
            <v>432.47</v>
          </cell>
        </row>
        <row r="469">
          <cell r="E469">
            <v>1</v>
          </cell>
          <cell r="F469">
            <v>45.94</v>
          </cell>
          <cell r="K469">
            <v>2</v>
          </cell>
          <cell r="N469">
            <v>45.94</v>
          </cell>
        </row>
        <row r="470">
          <cell r="E470">
            <v>1</v>
          </cell>
          <cell r="F470">
            <v>418.36</v>
          </cell>
          <cell r="K470">
            <v>5</v>
          </cell>
          <cell r="N470">
            <v>418.36</v>
          </cell>
        </row>
        <row r="471">
          <cell r="E471">
            <v>5</v>
          </cell>
          <cell r="F471">
            <v>676.98</v>
          </cell>
          <cell r="K471">
            <v>5</v>
          </cell>
          <cell r="N471">
            <v>3384.9</v>
          </cell>
        </row>
        <row r="472">
          <cell r="E472">
            <v>4</v>
          </cell>
          <cell r="F472">
            <v>263.62</v>
          </cell>
          <cell r="K472">
            <v>5</v>
          </cell>
          <cell r="N472">
            <v>1054.48</v>
          </cell>
        </row>
        <row r="473">
          <cell r="E473">
            <v>5</v>
          </cell>
          <cell r="F473">
            <v>551.27</v>
          </cell>
          <cell r="K473">
            <v>7</v>
          </cell>
          <cell r="N473">
            <v>2756.35</v>
          </cell>
        </row>
        <row r="474">
          <cell r="E474">
            <v>3</v>
          </cell>
          <cell r="F474">
            <v>508.12</v>
          </cell>
          <cell r="K474">
            <v>8</v>
          </cell>
          <cell r="N474">
            <v>1524.36</v>
          </cell>
        </row>
        <row r="475">
          <cell r="E475">
            <v>2</v>
          </cell>
          <cell r="F475">
            <v>14.93</v>
          </cell>
          <cell r="K475">
            <v>4</v>
          </cell>
          <cell r="N475">
            <v>29.86</v>
          </cell>
        </row>
        <row r="476">
          <cell r="E476">
            <v>3</v>
          </cell>
          <cell r="F476">
            <v>229.34</v>
          </cell>
          <cell r="K476">
            <v>6</v>
          </cell>
          <cell r="N476">
            <v>688.02</v>
          </cell>
        </row>
        <row r="477">
          <cell r="E477">
            <v>2</v>
          </cell>
          <cell r="F477">
            <v>438.62</v>
          </cell>
          <cell r="K477">
            <v>3</v>
          </cell>
          <cell r="N477">
            <v>877.24</v>
          </cell>
        </row>
        <row r="478">
          <cell r="E478">
            <v>2</v>
          </cell>
          <cell r="F478">
            <v>513.59</v>
          </cell>
          <cell r="K478">
            <v>4</v>
          </cell>
          <cell r="N478">
            <v>1027.18</v>
          </cell>
        </row>
        <row r="479">
          <cell r="E479">
            <v>2</v>
          </cell>
          <cell r="F479">
            <v>253.74</v>
          </cell>
          <cell r="K479">
            <v>5</v>
          </cell>
          <cell r="N479">
            <v>507.48</v>
          </cell>
        </row>
        <row r="480">
          <cell r="E480">
            <v>3</v>
          </cell>
          <cell r="F480">
            <v>62.77</v>
          </cell>
          <cell r="K480">
            <v>6</v>
          </cell>
          <cell r="N480">
            <v>188.31</v>
          </cell>
        </row>
        <row r="481">
          <cell r="E481">
            <v>4</v>
          </cell>
          <cell r="F481">
            <v>25.29</v>
          </cell>
          <cell r="K481">
            <v>8</v>
          </cell>
          <cell r="N481">
            <v>101.16</v>
          </cell>
        </row>
        <row r="482">
          <cell r="E482">
            <v>1</v>
          </cell>
          <cell r="F482">
            <v>335.1</v>
          </cell>
          <cell r="K482">
            <v>6</v>
          </cell>
          <cell r="N482">
            <v>335.1</v>
          </cell>
        </row>
        <row r="483">
          <cell r="E483">
            <v>4</v>
          </cell>
          <cell r="F483">
            <v>484.85</v>
          </cell>
          <cell r="K483">
            <v>5</v>
          </cell>
          <cell r="N483">
            <v>1939.4</v>
          </cell>
        </row>
        <row r="484">
          <cell r="E484">
            <v>3</v>
          </cell>
          <cell r="F484">
            <v>381.41</v>
          </cell>
          <cell r="K484">
            <v>6</v>
          </cell>
          <cell r="N484">
            <v>1144.23</v>
          </cell>
        </row>
        <row r="485">
          <cell r="E485">
            <v>5</v>
          </cell>
          <cell r="F485">
            <v>347.92</v>
          </cell>
          <cell r="K485">
            <v>6</v>
          </cell>
          <cell r="N485">
            <v>1739.6</v>
          </cell>
        </row>
        <row r="486">
          <cell r="E486">
            <v>4</v>
          </cell>
          <cell r="F486">
            <v>15.01</v>
          </cell>
          <cell r="K486">
            <v>6</v>
          </cell>
          <cell r="N486">
            <v>60.04</v>
          </cell>
        </row>
        <row r="487">
          <cell r="E487">
            <v>3</v>
          </cell>
          <cell r="F487">
            <v>404.79</v>
          </cell>
          <cell r="K487">
            <v>6</v>
          </cell>
          <cell r="N487">
            <v>1214.3699999999999</v>
          </cell>
        </row>
        <row r="488">
          <cell r="E488">
            <v>4</v>
          </cell>
          <cell r="F488">
            <v>611.26</v>
          </cell>
          <cell r="K488">
            <v>5</v>
          </cell>
          <cell r="N488">
            <v>2445.04</v>
          </cell>
        </row>
        <row r="489">
          <cell r="E489">
            <v>3</v>
          </cell>
          <cell r="F489">
            <v>346.52</v>
          </cell>
          <cell r="K489">
            <v>3</v>
          </cell>
          <cell r="N489">
            <v>1039.56</v>
          </cell>
        </row>
        <row r="490">
          <cell r="E490">
            <v>1</v>
          </cell>
          <cell r="F490">
            <v>36.65</v>
          </cell>
          <cell r="K490">
            <v>1</v>
          </cell>
          <cell r="N490">
            <v>36.65</v>
          </cell>
        </row>
        <row r="491">
          <cell r="E491">
            <v>3</v>
          </cell>
          <cell r="F491">
            <v>149.34</v>
          </cell>
          <cell r="K491">
            <v>7</v>
          </cell>
          <cell r="N491">
            <v>448.02</v>
          </cell>
        </row>
        <row r="492">
          <cell r="E492">
            <v>5</v>
          </cell>
          <cell r="F492">
            <v>467.81</v>
          </cell>
          <cell r="K492">
            <v>10</v>
          </cell>
          <cell r="N492">
            <v>2339.0500000000002</v>
          </cell>
        </row>
        <row r="493">
          <cell r="E493">
            <v>5</v>
          </cell>
          <cell r="F493">
            <v>420.7</v>
          </cell>
          <cell r="K493">
            <v>5</v>
          </cell>
          <cell r="N493">
            <v>2103.5</v>
          </cell>
        </row>
        <row r="494">
          <cell r="E494">
            <v>5</v>
          </cell>
          <cell r="F494">
            <v>606.52</v>
          </cell>
          <cell r="K494">
            <v>6</v>
          </cell>
          <cell r="N494">
            <v>3032.6</v>
          </cell>
        </row>
        <row r="495">
          <cell r="E495">
            <v>1</v>
          </cell>
          <cell r="F495">
            <v>420.26</v>
          </cell>
          <cell r="K495">
            <v>4</v>
          </cell>
          <cell r="N495">
            <v>420.26</v>
          </cell>
        </row>
        <row r="496">
          <cell r="E496">
            <v>3</v>
          </cell>
          <cell r="F496">
            <v>505.79</v>
          </cell>
          <cell r="K496">
            <v>3</v>
          </cell>
          <cell r="N496">
            <v>1517.37</v>
          </cell>
        </row>
        <row r="497">
          <cell r="E497">
            <v>4</v>
          </cell>
          <cell r="F497">
            <v>493.73</v>
          </cell>
          <cell r="K497">
            <v>6</v>
          </cell>
          <cell r="N497">
            <v>1974.92</v>
          </cell>
        </row>
        <row r="498">
          <cell r="E498">
            <v>3</v>
          </cell>
          <cell r="F498">
            <v>201.21</v>
          </cell>
          <cell r="K498">
            <v>3</v>
          </cell>
          <cell r="N498">
            <v>603.63</v>
          </cell>
        </row>
        <row r="499">
          <cell r="E499">
            <v>3</v>
          </cell>
          <cell r="F499">
            <v>112.29</v>
          </cell>
          <cell r="K499">
            <v>6</v>
          </cell>
          <cell r="N499">
            <v>336.87</v>
          </cell>
        </row>
        <row r="500">
          <cell r="E500">
            <v>4</v>
          </cell>
          <cell r="F500">
            <v>132.56</v>
          </cell>
          <cell r="K500">
            <v>8</v>
          </cell>
          <cell r="N500">
            <v>530.24</v>
          </cell>
        </row>
        <row r="501">
          <cell r="E501">
            <v>3</v>
          </cell>
          <cell r="F501">
            <v>539.46</v>
          </cell>
          <cell r="K501">
            <v>4</v>
          </cell>
          <cell r="N501">
            <v>1618.38</v>
          </cell>
        </row>
        <row r="502">
          <cell r="E502">
            <v>5</v>
          </cell>
          <cell r="F502">
            <v>508.59</v>
          </cell>
          <cell r="K502">
            <v>8</v>
          </cell>
          <cell r="N502">
            <v>2542.9499999999998</v>
          </cell>
        </row>
        <row r="503">
          <cell r="E503">
            <v>4</v>
          </cell>
          <cell r="F503">
            <v>203.46</v>
          </cell>
          <cell r="K503">
            <v>7</v>
          </cell>
          <cell r="N503">
            <v>813.84</v>
          </cell>
        </row>
        <row r="504">
          <cell r="E504">
            <v>3</v>
          </cell>
          <cell r="F504">
            <v>565.25</v>
          </cell>
          <cell r="K504">
            <v>7</v>
          </cell>
          <cell r="N504">
            <v>1695.75</v>
          </cell>
        </row>
        <row r="505">
          <cell r="E505">
            <v>3</v>
          </cell>
          <cell r="F505">
            <v>136.84</v>
          </cell>
          <cell r="K505">
            <v>4</v>
          </cell>
          <cell r="N505">
            <v>410.52</v>
          </cell>
        </row>
        <row r="506">
          <cell r="E506">
            <v>2</v>
          </cell>
          <cell r="F506">
            <v>464.5</v>
          </cell>
          <cell r="K506">
            <v>2</v>
          </cell>
          <cell r="N506">
            <v>929</v>
          </cell>
        </row>
        <row r="507">
          <cell r="E507">
            <v>2</v>
          </cell>
          <cell r="F507">
            <v>434.97</v>
          </cell>
          <cell r="K507">
            <v>7</v>
          </cell>
          <cell r="N507">
            <v>869.94</v>
          </cell>
        </row>
        <row r="508">
          <cell r="E508">
            <v>2</v>
          </cell>
          <cell r="F508">
            <v>43.67</v>
          </cell>
          <cell r="K508">
            <v>4</v>
          </cell>
          <cell r="N508">
            <v>87.34</v>
          </cell>
        </row>
        <row r="509">
          <cell r="E509">
            <v>1</v>
          </cell>
          <cell r="F509">
            <v>171.59</v>
          </cell>
          <cell r="K509">
            <v>5</v>
          </cell>
          <cell r="N509">
            <v>171.59</v>
          </cell>
        </row>
        <row r="510">
          <cell r="E510">
            <v>1</v>
          </cell>
          <cell r="F510">
            <v>558.27</v>
          </cell>
          <cell r="K510">
            <v>1</v>
          </cell>
          <cell r="N510">
            <v>558.27</v>
          </cell>
        </row>
        <row r="511">
          <cell r="E511">
            <v>2</v>
          </cell>
          <cell r="F511">
            <v>425.03</v>
          </cell>
          <cell r="K511">
            <v>2</v>
          </cell>
          <cell r="N511">
            <v>850.06</v>
          </cell>
        </row>
        <row r="512">
          <cell r="E512">
            <v>1</v>
          </cell>
          <cell r="F512">
            <v>376.76</v>
          </cell>
          <cell r="K512">
            <v>5</v>
          </cell>
          <cell r="N512">
            <v>376.76</v>
          </cell>
        </row>
        <row r="513">
          <cell r="E513">
            <v>5</v>
          </cell>
          <cell r="F513">
            <v>575.24</v>
          </cell>
          <cell r="K513">
            <v>7</v>
          </cell>
          <cell r="N513">
            <v>2876.2</v>
          </cell>
        </row>
        <row r="514">
          <cell r="E514">
            <v>3</v>
          </cell>
          <cell r="F514">
            <v>568.02</v>
          </cell>
          <cell r="K514">
            <v>3</v>
          </cell>
          <cell r="N514">
            <v>1704.06</v>
          </cell>
        </row>
        <row r="515">
          <cell r="E515">
            <v>3</v>
          </cell>
          <cell r="F515">
            <v>94.88</v>
          </cell>
          <cell r="K515">
            <v>8</v>
          </cell>
          <cell r="N515">
            <v>284.64</v>
          </cell>
        </row>
        <row r="516">
          <cell r="E516">
            <v>3</v>
          </cell>
          <cell r="F516">
            <v>304.14999999999998</v>
          </cell>
          <cell r="K516">
            <v>3</v>
          </cell>
          <cell r="N516">
            <v>912.44999999999993</v>
          </cell>
        </row>
        <row r="517">
          <cell r="E517">
            <v>3</v>
          </cell>
          <cell r="F517">
            <v>553.52</v>
          </cell>
          <cell r="K517">
            <v>4</v>
          </cell>
          <cell r="N517">
            <v>1660.56</v>
          </cell>
        </row>
        <row r="518">
          <cell r="E518">
            <v>3</v>
          </cell>
          <cell r="F518">
            <v>166.99</v>
          </cell>
          <cell r="K518">
            <v>8</v>
          </cell>
          <cell r="N518">
            <v>500.97</v>
          </cell>
        </row>
        <row r="519">
          <cell r="E519">
            <v>4</v>
          </cell>
          <cell r="F519">
            <v>198.35</v>
          </cell>
          <cell r="K519">
            <v>7</v>
          </cell>
          <cell r="N519">
            <v>793.4</v>
          </cell>
        </row>
        <row r="520">
          <cell r="E520">
            <v>4</v>
          </cell>
          <cell r="F520">
            <v>403.58</v>
          </cell>
          <cell r="K520">
            <v>9</v>
          </cell>
          <cell r="N520">
            <v>1614.32</v>
          </cell>
        </row>
        <row r="521">
          <cell r="E521">
            <v>4</v>
          </cell>
          <cell r="F521">
            <v>464.29</v>
          </cell>
          <cell r="K521">
            <v>5</v>
          </cell>
          <cell r="N521">
            <v>1857.16</v>
          </cell>
        </row>
        <row r="522">
          <cell r="E522">
            <v>3</v>
          </cell>
          <cell r="F522">
            <v>635.98</v>
          </cell>
          <cell r="K522">
            <v>5</v>
          </cell>
          <cell r="N522">
            <v>1907.94</v>
          </cell>
        </row>
        <row r="523">
          <cell r="E523">
            <v>1</v>
          </cell>
          <cell r="F523">
            <v>528.05999999999995</v>
          </cell>
          <cell r="K523">
            <v>2</v>
          </cell>
          <cell r="N523">
            <v>528.05999999999995</v>
          </cell>
        </row>
        <row r="524">
          <cell r="E524">
            <v>1</v>
          </cell>
          <cell r="F524">
            <v>515.32000000000005</v>
          </cell>
          <cell r="K524">
            <v>1</v>
          </cell>
          <cell r="N524">
            <v>515.32000000000005</v>
          </cell>
        </row>
        <row r="525">
          <cell r="E525">
            <v>4</v>
          </cell>
          <cell r="F525">
            <v>657.79</v>
          </cell>
          <cell r="K525">
            <v>6</v>
          </cell>
          <cell r="N525">
            <v>2631.16</v>
          </cell>
        </row>
        <row r="526">
          <cell r="E526">
            <v>1</v>
          </cell>
          <cell r="F526">
            <v>153</v>
          </cell>
          <cell r="K526">
            <v>4</v>
          </cell>
          <cell r="N526">
            <v>153</v>
          </cell>
        </row>
        <row r="527">
          <cell r="E527">
            <v>1</v>
          </cell>
          <cell r="F527">
            <v>668.48</v>
          </cell>
          <cell r="K527">
            <v>1</v>
          </cell>
          <cell r="N527">
            <v>668.48</v>
          </cell>
        </row>
        <row r="528">
          <cell r="E528">
            <v>2</v>
          </cell>
          <cell r="F528">
            <v>46.5</v>
          </cell>
          <cell r="K528">
            <v>7</v>
          </cell>
          <cell r="N528">
            <v>93</v>
          </cell>
        </row>
        <row r="529">
          <cell r="E529">
            <v>5</v>
          </cell>
          <cell r="F529">
            <v>653.47</v>
          </cell>
          <cell r="K529">
            <v>10</v>
          </cell>
          <cell r="N529">
            <v>3267.35</v>
          </cell>
        </row>
        <row r="530">
          <cell r="E530">
            <v>1</v>
          </cell>
          <cell r="F530">
            <v>628.89</v>
          </cell>
          <cell r="K530">
            <v>2</v>
          </cell>
          <cell r="N530">
            <v>628.89</v>
          </cell>
        </row>
        <row r="531">
          <cell r="E531">
            <v>2</v>
          </cell>
          <cell r="F531">
            <v>675.1</v>
          </cell>
          <cell r="K531">
            <v>4</v>
          </cell>
          <cell r="N531">
            <v>1350.2</v>
          </cell>
        </row>
        <row r="532">
          <cell r="E532">
            <v>4</v>
          </cell>
          <cell r="F532">
            <v>89.41</v>
          </cell>
          <cell r="K532">
            <v>9</v>
          </cell>
          <cell r="N532">
            <v>357.64</v>
          </cell>
        </row>
        <row r="533">
          <cell r="E533">
            <v>5</v>
          </cell>
          <cell r="F533">
            <v>320.01</v>
          </cell>
          <cell r="K533">
            <v>6</v>
          </cell>
          <cell r="N533">
            <v>1600.05</v>
          </cell>
        </row>
        <row r="534">
          <cell r="E534">
            <v>2</v>
          </cell>
          <cell r="F534">
            <v>41</v>
          </cell>
          <cell r="K534">
            <v>7</v>
          </cell>
          <cell r="N534">
            <v>82</v>
          </cell>
        </row>
        <row r="535">
          <cell r="E535">
            <v>1</v>
          </cell>
          <cell r="F535">
            <v>565.85</v>
          </cell>
          <cell r="K535">
            <v>1</v>
          </cell>
          <cell r="N535">
            <v>565.85</v>
          </cell>
        </row>
        <row r="536">
          <cell r="E536">
            <v>3</v>
          </cell>
          <cell r="F536">
            <v>648.59</v>
          </cell>
          <cell r="K536">
            <v>4</v>
          </cell>
          <cell r="N536">
            <v>1945.77</v>
          </cell>
        </row>
        <row r="537">
          <cell r="E537">
            <v>3</v>
          </cell>
          <cell r="F537">
            <v>68.12</v>
          </cell>
          <cell r="K537">
            <v>3</v>
          </cell>
          <cell r="N537">
            <v>204.36</v>
          </cell>
        </row>
        <row r="538">
          <cell r="E538">
            <v>1</v>
          </cell>
          <cell r="F538">
            <v>616.1</v>
          </cell>
          <cell r="K538">
            <v>6</v>
          </cell>
          <cell r="N538">
            <v>616.1</v>
          </cell>
        </row>
        <row r="539">
          <cell r="E539">
            <v>3</v>
          </cell>
          <cell r="F539">
            <v>247.47</v>
          </cell>
          <cell r="K539">
            <v>4</v>
          </cell>
          <cell r="N539">
            <v>742.41</v>
          </cell>
        </row>
        <row r="540">
          <cell r="E540">
            <v>3</v>
          </cell>
          <cell r="F540">
            <v>490.74</v>
          </cell>
          <cell r="K540">
            <v>3</v>
          </cell>
          <cell r="N540">
            <v>1472.22</v>
          </cell>
        </row>
        <row r="541">
          <cell r="E541">
            <v>3</v>
          </cell>
          <cell r="F541">
            <v>531.72</v>
          </cell>
          <cell r="K541">
            <v>7</v>
          </cell>
          <cell r="N541">
            <v>1595.16</v>
          </cell>
        </row>
        <row r="542">
          <cell r="E542">
            <v>5</v>
          </cell>
          <cell r="F542">
            <v>648.65</v>
          </cell>
          <cell r="K542">
            <v>7</v>
          </cell>
          <cell r="N542">
            <v>3243.25</v>
          </cell>
        </row>
        <row r="543">
          <cell r="E543">
            <v>5</v>
          </cell>
          <cell r="F543">
            <v>456.06</v>
          </cell>
          <cell r="K543">
            <v>10</v>
          </cell>
          <cell r="N543">
            <v>2280.3000000000002</v>
          </cell>
        </row>
        <row r="544">
          <cell r="E544">
            <v>1</v>
          </cell>
          <cell r="F544">
            <v>17.98</v>
          </cell>
          <cell r="K544">
            <v>6</v>
          </cell>
          <cell r="N544">
            <v>17.98</v>
          </cell>
        </row>
        <row r="545">
          <cell r="E545">
            <v>5</v>
          </cell>
          <cell r="F545">
            <v>269.86</v>
          </cell>
          <cell r="K545">
            <v>6</v>
          </cell>
          <cell r="N545">
            <v>1349.3</v>
          </cell>
        </row>
        <row r="546">
          <cell r="E546">
            <v>5</v>
          </cell>
          <cell r="F546">
            <v>31.96</v>
          </cell>
          <cell r="K546">
            <v>5</v>
          </cell>
          <cell r="N546">
            <v>159.80000000000001</v>
          </cell>
        </row>
        <row r="547">
          <cell r="E547">
            <v>2</v>
          </cell>
          <cell r="F547">
            <v>98.47</v>
          </cell>
          <cell r="K547">
            <v>3</v>
          </cell>
          <cell r="N547">
            <v>196.94</v>
          </cell>
        </row>
        <row r="548">
          <cell r="E548">
            <v>1</v>
          </cell>
          <cell r="F548">
            <v>158.68</v>
          </cell>
          <cell r="K548">
            <v>6</v>
          </cell>
          <cell r="N548">
            <v>158.68</v>
          </cell>
        </row>
        <row r="549">
          <cell r="E549">
            <v>1</v>
          </cell>
          <cell r="F549">
            <v>613.98</v>
          </cell>
          <cell r="K549">
            <v>4</v>
          </cell>
          <cell r="N549">
            <v>613.98</v>
          </cell>
        </row>
        <row r="550">
          <cell r="E550">
            <v>3</v>
          </cell>
          <cell r="F550">
            <v>426.12</v>
          </cell>
          <cell r="K550">
            <v>5</v>
          </cell>
          <cell r="N550">
            <v>1278.3599999999999</v>
          </cell>
        </row>
        <row r="551">
          <cell r="E551">
            <v>4</v>
          </cell>
          <cell r="F551">
            <v>629.88</v>
          </cell>
          <cell r="K551">
            <v>8</v>
          </cell>
          <cell r="N551">
            <v>2519.52</v>
          </cell>
        </row>
        <row r="552">
          <cell r="E552">
            <v>4</v>
          </cell>
          <cell r="F552">
            <v>228.91</v>
          </cell>
          <cell r="K552">
            <v>4</v>
          </cell>
          <cell r="N552">
            <v>915.64</v>
          </cell>
        </row>
        <row r="553">
          <cell r="E553">
            <v>1</v>
          </cell>
          <cell r="F553">
            <v>120.98</v>
          </cell>
          <cell r="K553">
            <v>6</v>
          </cell>
          <cell r="N553">
            <v>120.98</v>
          </cell>
        </row>
        <row r="554">
          <cell r="E554">
            <v>4</v>
          </cell>
          <cell r="F554">
            <v>425.18</v>
          </cell>
          <cell r="K554">
            <v>8</v>
          </cell>
          <cell r="N554">
            <v>1700.72</v>
          </cell>
        </row>
        <row r="555">
          <cell r="E555">
            <v>2</v>
          </cell>
          <cell r="F555">
            <v>333.83</v>
          </cell>
          <cell r="K555">
            <v>4</v>
          </cell>
          <cell r="N555">
            <v>667.66</v>
          </cell>
        </row>
        <row r="556">
          <cell r="E556">
            <v>2</v>
          </cell>
          <cell r="F556">
            <v>492.9</v>
          </cell>
          <cell r="K556">
            <v>5</v>
          </cell>
          <cell r="N556">
            <v>985.8</v>
          </cell>
        </row>
        <row r="557">
          <cell r="E557">
            <v>1</v>
          </cell>
          <cell r="F557">
            <v>92.04</v>
          </cell>
          <cell r="K557">
            <v>2</v>
          </cell>
          <cell r="N557">
            <v>92.04</v>
          </cell>
        </row>
        <row r="558">
          <cell r="E558">
            <v>1</v>
          </cell>
          <cell r="F558">
            <v>654.27</v>
          </cell>
          <cell r="K558">
            <v>2</v>
          </cell>
          <cell r="N558">
            <v>654.27</v>
          </cell>
        </row>
        <row r="559">
          <cell r="E559">
            <v>1</v>
          </cell>
          <cell r="F559">
            <v>56.2</v>
          </cell>
          <cell r="K559">
            <v>1</v>
          </cell>
          <cell r="N559">
            <v>56.2</v>
          </cell>
        </row>
        <row r="560">
          <cell r="E560">
            <v>4</v>
          </cell>
          <cell r="F560">
            <v>628.12</v>
          </cell>
          <cell r="K560">
            <v>6</v>
          </cell>
          <cell r="N560">
            <v>2512.48</v>
          </cell>
        </row>
        <row r="561">
          <cell r="E561">
            <v>3</v>
          </cell>
          <cell r="F561">
            <v>157.4</v>
          </cell>
          <cell r="K561">
            <v>7</v>
          </cell>
          <cell r="N561">
            <v>472.2</v>
          </cell>
        </row>
        <row r="562">
          <cell r="E562">
            <v>4</v>
          </cell>
          <cell r="F562">
            <v>588.85</v>
          </cell>
          <cell r="K562">
            <v>7</v>
          </cell>
          <cell r="N562">
            <v>2355.4</v>
          </cell>
        </row>
        <row r="563">
          <cell r="E563">
            <v>2</v>
          </cell>
          <cell r="F563">
            <v>494.78</v>
          </cell>
          <cell r="K563">
            <v>2</v>
          </cell>
          <cell r="N563">
            <v>989.56</v>
          </cell>
        </row>
        <row r="564">
          <cell r="E564">
            <v>3</v>
          </cell>
          <cell r="F564">
            <v>663.93</v>
          </cell>
          <cell r="K564">
            <v>6</v>
          </cell>
          <cell r="N564">
            <v>1991.79</v>
          </cell>
        </row>
        <row r="565">
          <cell r="E565">
            <v>1</v>
          </cell>
          <cell r="F565">
            <v>132.68</v>
          </cell>
          <cell r="K565">
            <v>1</v>
          </cell>
          <cell r="N565">
            <v>132.68</v>
          </cell>
        </row>
        <row r="566">
          <cell r="E566">
            <v>5</v>
          </cell>
          <cell r="F566">
            <v>364.28</v>
          </cell>
          <cell r="K566">
            <v>5</v>
          </cell>
          <cell r="N566">
            <v>1821.4</v>
          </cell>
        </row>
        <row r="567">
          <cell r="E567">
            <v>5</v>
          </cell>
          <cell r="F567">
            <v>307.98</v>
          </cell>
          <cell r="K567">
            <v>10</v>
          </cell>
          <cell r="N567">
            <v>1539.9</v>
          </cell>
        </row>
        <row r="568">
          <cell r="E568">
            <v>4</v>
          </cell>
          <cell r="F568">
            <v>162.71</v>
          </cell>
          <cell r="K568">
            <v>7</v>
          </cell>
          <cell r="N568">
            <v>650.84</v>
          </cell>
        </row>
        <row r="569">
          <cell r="E569">
            <v>5</v>
          </cell>
          <cell r="F569">
            <v>492.94</v>
          </cell>
          <cell r="K569">
            <v>10</v>
          </cell>
          <cell r="N569">
            <v>2464.6999999999998</v>
          </cell>
        </row>
        <row r="570">
          <cell r="E570">
            <v>2</v>
          </cell>
          <cell r="F570">
            <v>343.99</v>
          </cell>
          <cell r="K570">
            <v>4</v>
          </cell>
          <cell r="N570">
            <v>687.98</v>
          </cell>
        </row>
        <row r="571">
          <cell r="E571">
            <v>5</v>
          </cell>
          <cell r="F571">
            <v>250.68</v>
          </cell>
          <cell r="K571">
            <v>8</v>
          </cell>
          <cell r="N571">
            <v>1253.4000000000001</v>
          </cell>
        </row>
        <row r="572">
          <cell r="E572">
            <v>2</v>
          </cell>
          <cell r="F572">
            <v>362.14</v>
          </cell>
          <cell r="K572">
            <v>2</v>
          </cell>
          <cell r="N572">
            <v>724.28</v>
          </cell>
        </row>
        <row r="573">
          <cell r="E573">
            <v>1</v>
          </cell>
          <cell r="F573">
            <v>214.08</v>
          </cell>
          <cell r="K573">
            <v>2</v>
          </cell>
          <cell r="N573">
            <v>214.08</v>
          </cell>
        </row>
        <row r="574">
          <cell r="E574">
            <v>1</v>
          </cell>
          <cell r="F574">
            <v>70.319999999999993</v>
          </cell>
          <cell r="K574">
            <v>4</v>
          </cell>
          <cell r="N574">
            <v>70.319999999999993</v>
          </cell>
        </row>
        <row r="575">
          <cell r="E575">
            <v>5</v>
          </cell>
          <cell r="F575">
            <v>421.42</v>
          </cell>
          <cell r="K575">
            <v>7</v>
          </cell>
          <cell r="N575">
            <v>2107.1</v>
          </cell>
        </row>
        <row r="576">
          <cell r="E576">
            <v>5</v>
          </cell>
          <cell r="F576">
            <v>384.69</v>
          </cell>
          <cell r="K576">
            <v>6</v>
          </cell>
          <cell r="N576">
            <v>1923.45</v>
          </cell>
        </row>
        <row r="577">
          <cell r="E577">
            <v>5</v>
          </cell>
          <cell r="F577">
            <v>448.15</v>
          </cell>
          <cell r="K577">
            <v>7</v>
          </cell>
          <cell r="N577">
            <v>2240.75</v>
          </cell>
        </row>
        <row r="578">
          <cell r="E578">
            <v>5</v>
          </cell>
          <cell r="F578">
            <v>79.08</v>
          </cell>
          <cell r="K578">
            <v>8</v>
          </cell>
          <cell r="N578">
            <v>395.4</v>
          </cell>
        </row>
        <row r="579">
          <cell r="E579">
            <v>4</v>
          </cell>
          <cell r="F579">
            <v>185.41</v>
          </cell>
          <cell r="K579">
            <v>9</v>
          </cell>
          <cell r="N579">
            <v>741.64</v>
          </cell>
        </row>
        <row r="580">
          <cell r="E580">
            <v>5</v>
          </cell>
          <cell r="F580">
            <v>566.07000000000005</v>
          </cell>
          <cell r="K580">
            <v>6</v>
          </cell>
          <cell r="N580">
            <v>2830.35</v>
          </cell>
        </row>
        <row r="581">
          <cell r="E581">
            <v>2</v>
          </cell>
          <cell r="F581">
            <v>187.88</v>
          </cell>
          <cell r="K581">
            <v>4</v>
          </cell>
          <cell r="N581">
            <v>375.76</v>
          </cell>
        </row>
        <row r="582">
          <cell r="E582">
            <v>2</v>
          </cell>
          <cell r="F582">
            <v>255.99</v>
          </cell>
          <cell r="K582">
            <v>4</v>
          </cell>
          <cell r="N582">
            <v>511.98</v>
          </cell>
        </row>
        <row r="583">
          <cell r="E583">
            <v>1</v>
          </cell>
          <cell r="F583">
            <v>627.34</v>
          </cell>
          <cell r="K583">
            <v>1</v>
          </cell>
          <cell r="N583">
            <v>627.34</v>
          </cell>
        </row>
        <row r="584">
          <cell r="E584">
            <v>3</v>
          </cell>
          <cell r="F584">
            <v>474.14</v>
          </cell>
          <cell r="K584">
            <v>8</v>
          </cell>
          <cell r="N584">
            <v>1422.42</v>
          </cell>
        </row>
        <row r="585">
          <cell r="E585">
            <v>3</v>
          </cell>
          <cell r="F585">
            <v>154.37</v>
          </cell>
          <cell r="K585">
            <v>4</v>
          </cell>
          <cell r="N585">
            <v>463.11</v>
          </cell>
        </row>
        <row r="586">
          <cell r="E586">
            <v>4</v>
          </cell>
          <cell r="F586">
            <v>145.05000000000001</v>
          </cell>
          <cell r="K586">
            <v>6</v>
          </cell>
          <cell r="N586">
            <v>580.20000000000005</v>
          </cell>
        </row>
        <row r="587">
          <cell r="E587">
            <v>4</v>
          </cell>
          <cell r="F587">
            <v>67.08</v>
          </cell>
          <cell r="K587">
            <v>8</v>
          </cell>
          <cell r="N587">
            <v>268.32</v>
          </cell>
        </row>
        <row r="588">
          <cell r="E588">
            <v>1</v>
          </cell>
          <cell r="F588">
            <v>522.08000000000004</v>
          </cell>
          <cell r="K588">
            <v>5</v>
          </cell>
          <cell r="N588">
            <v>522.08000000000004</v>
          </cell>
        </row>
        <row r="589">
          <cell r="E589">
            <v>5</v>
          </cell>
          <cell r="F589">
            <v>514.6</v>
          </cell>
          <cell r="K589">
            <v>10</v>
          </cell>
          <cell r="N589">
            <v>2573</v>
          </cell>
        </row>
        <row r="590">
          <cell r="E590">
            <v>4</v>
          </cell>
          <cell r="F590">
            <v>577.82000000000005</v>
          </cell>
          <cell r="K590">
            <v>9</v>
          </cell>
          <cell r="N590">
            <v>2311.2800000000002</v>
          </cell>
        </row>
        <row r="591">
          <cell r="E591">
            <v>2</v>
          </cell>
          <cell r="F591">
            <v>500.8</v>
          </cell>
          <cell r="K591">
            <v>3</v>
          </cell>
          <cell r="N591">
            <v>1001.6</v>
          </cell>
        </row>
        <row r="592">
          <cell r="E592">
            <v>2</v>
          </cell>
          <cell r="F592">
            <v>461.13</v>
          </cell>
          <cell r="K592">
            <v>4</v>
          </cell>
          <cell r="N592">
            <v>922.26</v>
          </cell>
        </row>
        <row r="593">
          <cell r="E593">
            <v>1</v>
          </cell>
          <cell r="F593">
            <v>605.28</v>
          </cell>
          <cell r="K593">
            <v>3</v>
          </cell>
          <cell r="N593">
            <v>605.28</v>
          </cell>
        </row>
        <row r="594">
          <cell r="E594">
            <v>3</v>
          </cell>
          <cell r="F594">
            <v>204.27</v>
          </cell>
          <cell r="K594">
            <v>4</v>
          </cell>
          <cell r="N594">
            <v>612.81000000000006</v>
          </cell>
        </row>
        <row r="595">
          <cell r="E595">
            <v>1</v>
          </cell>
          <cell r="F595">
            <v>489.8</v>
          </cell>
          <cell r="K595">
            <v>4</v>
          </cell>
          <cell r="N595">
            <v>489.8</v>
          </cell>
        </row>
        <row r="596">
          <cell r="E596">
            <v>5</v>
          </cell>
          <cell r="F596">
            <v>72.64</v>
          </cell>
          <cell r="K596">
            <v>7</v>
          </cell>
          <cell r="N596">
            <v>363.2</v>
          </cell>
        </row>
        <row r="597">
          <cell r="E597">
            <v>2</v>
          </cell>
          <cell r="F597">
            <v>385.16</v>
          </cell>
          <cell r="K597">
            <v>7</v>
          </cell>
          <cell r="N597">
            <v>770.32</v>
          </cell>
        </row>
        <row r="598">
          <cell r="E598">
            <v>3</v>
          </cell>
          <cell r="F598">
            <v>606.41</v>
          </cell>
          <cell r="K598">
            <v>7</v>
          </cell>
          <cell r="N598">
            <v>1819.23</v>
          </cell>
        </row>
        <row r="599">
          <cell r="E599">
            <v>2</v>
          </cell>
          <cell r="F599">
            <v>211.82</v>
          </cell>
          <cell r="K599">
            <v>4</v>
          </cell>
          <cell r="N599">
            <v>423.64</v>
          </cell>
        </row>
        <row r="600">
          <cell r="E600">
            <v>5</v>
          </cell>
          <cell r="F600">
            <v>495.35</v>
          </cell>
          <cell r="K600">
            <v>5</v>
          </cell>
          <cell r="N600">
            <v>2476.75</v>
          </cell>
        </row>
        <row r="601">
          <cell r="E601">
            <v>3</v>
          </cell>
          <cell r="F601">
            <v>556.99</v>
          </cell>
          <cell r="K601">
            <v>4</v>
          </cell>
          <cell r="N601">
            <v>1670.97</v>
          </cell>
        </row>
        <row r="602">
          <cell r="E602">
            <v>1</v>
          </cell>
          <cell r="F602">
            <v>72.31</v>
          </cell>
          <cell r="K602">
            <v>1</v>
          </cell>
          <cell r="N602">
            <v>72.31</v>
          </cell>
        </row>
        <row r="603">
          <cell r="E603">
            <v>5</v>
          </cell>
          <cell r="F603">
            <v>24.82</v>
          </cell>
          <cell r="K603">
            <v>10</v>
          </cell>
          <cell r="N603">
            <v>124.1</v>
          </cell>
        </row>
        <row r="604">
          <cell r="E604">
            <v>4</v>
          </cell>
          <cell r="F604">
            <v>26.04</v>
          </cell>
          <cell r="K604">
            <v>5</v>
          </cell>
          <cell r="N604">
            <v>104.16</v>
          </cell>
        </row>
        <row r="605">
          <cell r="E605">
            <v>1</v>
          </cell>
          <cell r="F605">
            <v>657.07</v>
          </cell>
          <cell r="K605">
            <v>4</v>
          </cell>
          <cell r="N605">
            <v>657.07</v>
          </cell>
        </row>
        <row r="606">
          <cell r="E606">
            <v>3</v>
          </cell>
          <cell r="F606">
            <v>32.619999999999997</v>
          </cell>
          <cell r="K606">
            <v>6</v>
          </cell>
          <cell r="N606">
            <v>97.859999999999985</v>
          </cell>
        </row>
        <row r="607">
          <cell r="E607">
            <v>2</v>
          </cell>
          <cell r="F607">
            <v>228.91</v>
          </cell>
          <cell r="K607">
            <v>4</v>
          </cell>
          <cell r="N607">
            <v>457.82</v>
          </cell>
        </row>
        <row r="608">
          <cell r="E608">
            <v>3</v>
          </cell>
          <cell r="F608">
            <v>274.75</v>
          </cell>
          <cell r="K608">
            <v>3</v>
          </cell>
          <cell r="N608">
            <v>824.25</v>
          </cell>
        </row>
        <row r="609">
          <cell r="E609">
            <v>4</v>
          </cell>
          <cell r="F609">
            <v>634.04999999999995</v>
          </cell>
          <cell r="K609">
            <v>6</v>
          </cell>
          <cell r="N609">
            <v>2536.1999999999998</v>
          </cell>
        </row>
        <row r="610">
          <cell r="E610">
            <v>5</v>
          </cell>
          <cell r="F610">
            <v>543.16</v>
          </cell>
          <cell r="K610">
            <v>6</v>
          </cell>
          <cell r="N610">
            <v>2715.8</v>
          </cell>
        </row>
        <row r="611">
          <cell r="E611">
            <v>3</v>
          </cell>
          <cell r="F611">
            <v>449.13</v>
          </cell>
          <cell r="K611">
            <v>5</v>
          </cell>
          <cell r="N611">
            <v>1347.39</v>
          </cell>
        </row>
        <row r="612">
          <cell r="E612">
            <v>5</v>
          </cell>
          <cell r="F612">
            <v>389.62</v>
          </cell>
          <cell r="K612">
            <v>7</v>
          </cell>
          <cell r="N612">
            <v>1948.1</v>
          </cell>
        </row>
        <row r="613">
          <cell r="E613">
            <v>1</v>
          </cell>
          <cell r="F613">
            <v>305.17</v>
          </cell>
          <cell r="K613">
            <v>3</v>
          </cell>
          <cell r="N613">
            <v>305.17</v>
          </cell>
        </row>
        <row r="614">
          <cell r="E614">
            <v>3</v>
          </cell>
          <cell r="F614">
            <v>445.12</v>
          </cell>
          <cell r="K614">
            <v>8</v>
          </cell>
          <cell r="N614">
            <v>1335.36</v>
          </cell>
        </row>
        <row r="615">
          <cell r="E615">
            <v>2</v>
          </cell>
          <cell r="F615">
            <v>230.36</v>
          </cell>
          <cell r="K615">
            <v>4</v>
          </cell>
          <cell r="N615">
            <v>460.72</v>
          </cell>
        </row>
        <row r="616">
          <cell r="E616">
            <v>1</v>
          </cell>
          <cell r="F616">
            <v>96.81</v>
          </cell>
          <cell r="K616">
            <v>3</v>
          </cell>
          <cell r="N616">
            <v>96.81</v>
          </cell>
        </row>
        <row r="617">
          <cell r="E617">
            <v>5</v>
          </cell>
          <cell r="F617">
            <v>460.14</v>
          </cell>
          <cell r="K617">
            <v>10</v>
          </cell>
          <cell r="N617">
            <v>2300.6999999999998</v>
          </cell>
        </row>
        <row r="618">
          <cell r="E618">
            <v>3</v>
          </cell>
          <cell r="F618">
            <v>601.6</v>
          </cell>
          <cell r="K618">
            <v>7</v>
          </cell>
          <cell r="N618">
            <v>1804.8</v>
          </cell>
        </row>
        <row r="619">
          <cell r="E619">
            <v>3</v>
          </cell>
          <cell r="F619">
            <v>184.47</v>
          </cell>
          <cell r="K619">
            <v>4</v>
          </cell>
          <cell r="N619">
            <v>553.41</v>
          </cell>
        </row>
        <row r="620">
          <cell r="E620">
            <v>1</v>
          </cell>
          <cell r="F620">
            <v>411.34</v>
          </cell>
          <cell r="K620">
            <v>5</v>
          </cell>
          <cell r="N620">
            <v>411.34</v>
          </cell>
        </row>
        <row r="621">
          <cell r="E621">
            <v>1</v>
          </cell>
          <cell r="F621">
            <v>532.89</v>
          </cell>
          <cell r="K621">
            <v>2</v>
          </cell>
          <cell r="N621">
            <v>532.89</v>
          </cell>
        </row>
        <row r="622">
          <cell r="E622">
            <v>3</v>
          </cell>
          <cell r="F622">
            <v>136.34</v>
          </cell>
          <cell r="K622">
            <v>8</v>
          </cell>
          <cell r="N622">
            <v>409.02</v>
          </cell>
        </row>
        <row r="623">
          <cell r="E623">
            <v>5</v>
          </cell>
          <cell r="F623">
            <v>476.01</v>
          </cell>
          <cell r="K623">
            <v>7</v>
          </cell>
          <cell r="N623">
            <v>2380.0500000000002</v>
          </cell>
        </row>
        <row r="624">
          <cell r="E624">
            <v>5</v>
          </cell>
          <cell r="F624">
            <v>236.38</v>
          </cell>
          <cell r="K624">
            <v>7</v>
          </cell>
          <cell r="N624">
            <v>1181.9000000000001</v>
          </cell>
        </row>
        <row r="625">
          <cell r="E625">
            <v>3</v>
          </cell>
          <cell r="F625">
            <v>396</v>
          </cell>
          <cell r="K625">
            <v>4</v>
          </cell>
          <cell r="N625">
            <v>1188</v>
          </cell>
        </row>
        <row r="626">
          <cell r="E626">
            <v>5</v>
          </cell>
          <cell r="F626">
            <v>341.96</v>
          </cell>
          <cell r="K626">
            <v>6</v>
          </cell>
          <cell r="N626">
            <v>1709.8</v>
          </cell>
        </row>
        <row r="627">
          <cell r="E627">
            <v>1</v>
          </cell>
          <cell r="F627">
            <v>672.89</v>
          </cell>
          <cell r="K627">
            <v>1</v>
          </cell>
          <cell r="N627">
            <v>672.89</v>
          </cell>
        </row>
        <row r="628">
          <cell r="E628">
            <v>2</v>
          </cell>
          <cell r="F628">
            <v>657.48</v>
          </cell>
          <cell r="K628">
            <v>5</v>
          </cell>
          <cell r="N628">
            <v>1314.96</v>
          </cell>
        </row>
        <row r="629">
          <cell r="E629">
            <v>3</v>
          </cell>
          <cell r="F629">
            <v>498.68</v>
          </cell>
          <cell r="K629">
            <v>4</v>
          </cell>
          <cell r="N629">
            <v>1496.04</v>
          </cell>
        </row>
        <row r="630">
          <cell r="E630">
            <v>5</v>
          </cell>
          <cell r="F630">
            <v>558.63</v>
          </cell>
          <cell r="K630">
            <v>8</v>
          </cell>
          <cell r="N630">
            <v>2793.15</v>
          </cell>
        </row>
        <row r="631">
          <cell r="E631">
            <v>3</v>
          </cell>
          <cell r="F631">
            <v>19.73</v>
          </cell>
          <cell r="K631">
            <v>3</v>
          </cell>
          <cell r="N631">
            <v>59.19</v>
          </cell>
        </row>
        <row r="632">
          <cell r="E632">
            <v>5</v>
          </cell>
          <cell r="F632">
            <v>248.84</v>
          </cell>
          <cell r="K632">
            <v>10</v>
          </cell>
          <cell r="N632">
            <v>1244.2</v>
          </cell>
        </row>
        <row r="633">
          <cell r="E633">
            <v>3</v>
          </cell>
          <cell r="F633">
            <v>46.11</v>
          </cell>
          <cell r="K633">
            <v>5</v>
          </cell>
          <cell r="N633">
            <v>138.33000000000001</v>
          </cell>
        </row>
        <row r="634">
          <cell r="E634">
            <v>5</v>
          </cell>
          <cell r="F634">
            <v>678.16</v>
          </cell>
          <cell r="K634">
            <v>7</v>
          </cell>
          <cell r="N634">
            <v>3390.8</v>
          </cell>
        </row>
        <row r="635">
          <cell r="E635">
            <v>5</v>
          </cell>
          <cell r="F635">
            <v>601.72</v>
          </cell>
          <cell r="K635">
            <v>5</v>
          </cell>
          <cell r="N635">
            <v>3008.6</v>
          </cell>
        </row>
        <row r="636">
          <cell r="E636">
            <v>2</v>
          </cell>
          <cell r="F636">
            <v>259.32</v>
          </cell>
          <cell r="K636">
            <v>2</v>
          </cell>
          <cell r="N636">
            <v>518.64</v>
          </cell>
        </row>
        <row r="637">
          <cell r="E637">
            <v>3</v>
          </cell>
          <cell r="F637">
            <v>63.68</v>
          </cell>
          <cell r="K637">
            <v>6</v>
          </cell>
          <cell r="N637">
            <v>191.04</v>
          </cell>
        </row>
        <row r="638">
          <cell r="E638">
            <v>4</v>
          </cell>
          <cell r="F638">
            <v>371.07</v>
          </cell>
          <cell r="K638">
            <v>7</v>
          </cell>
          <cell r="N638">
            <v>1484.28</v>
          </cell>
        </row>
        <row r="639">
          <cell r="E639">
            <v>4</v>
          </cell>
          <cell r="F639">
            <v>306.35000000000002</v>
          </cell>
          <cell r="K639">
            <v>7</v>
          </cell>
          <cell r="N639">
            <v>1225.4000000000001</v>
          </cell>
        </row>
        <row r="640">
          <cell r="E640">
            <v>4</v>
          </cell>
          <cell r="F640">
            <v>578.27</v>
          </cell>
          <cell r="K640">
            <v>9</v>
          </cell>
          <cell r="N640">
            <v>2313.08</v>
          </cell>
        </row>
        <row r="641">
          <cell r="E641">
            <v>1</v>
          </cell>
          <cell r="F641">
            <v>529.19000000000005</v>
          </cell>
          <cell r="K641">
            <v>5</v>
          </cell>
          <cell r="N641">
            <v>529.19000000000005</v>
          </cell>
        </row>
        <row r="642">
          <cell r="E642">
            <v>2</v>
          </cell>
          <cell r="F642">
            <v>587.49</v>
          </cell>
          <cell r="K642">
            <v>6</v>
          </cell>
          <cell r="N642">
            <v>1174.98</v>
          </cell>
        </row>
        <row r="643">
          <cell r="E643">
            <v>4</v>
          </cell>
          <cell r="F643">
            <v>567.57000000000005</v>
          </cell>
          <cell r="K643">
            <v>9</v>
          </cell>
          <cell r="N643">
            <v>2270.2800000000002</v>
          </cell>
        </row>
        <row r="644">
          <cell r="E644">
            <v>5</v>
          </cell>
          <cell r="F644">
            <v>85.22</v>
          </cell>
          <cell r="K644">
            <v>7</v>
          </cell>
          <cell r="N644">
            <v>426.1</v>
          </cell>
        </row>
        <row r="645">
          <cell r="E645">
            <v>1</v>
          </cell>
          <cell r="F645">
            <v>438.37</v>
          </cell>
          <cell r="K645">
            <v>4</v>
          </cell>
          <cell r="N645">
            <v>438.37</v>
          </cell>
        </row>
        <row r="646">
          <cell r="E646">
            <v>2</v>
          </cell>
          <cell r="F646">
            <v>366.23</v>
          </cell>
          <cell r="K646">
            <v>2</v>
          </cell>
          <cell r="N646">
            <v>732.46</v>
          </cell>
        </row>
        <row r="647">
          <cell r="E647">
            <v>2</v>
          </cell>
          <cell r="F647">
            <v>150.05000000000001</v>
          </cell>
          <cell r="K647">
            <v>4</v>
          </cell>
          <cell r="N647">
            <v>300.10000000000002</v>
          </cell>
        </row>
        <row r="648">
          <cell r="E648">
            <v>4</v>
          </cell>
          <cell r="F648">
            <v>498.51</v>
          </cell>
          <cell r="K648">
            <v>4</v>
          </cell>
          <cell r="N648">
            <v>1994.04</v>
          </cell>
        </row>
        <row r="649">
          <cell r="E649">
            <v>3</v>
          </cell>
          <cell r="F649">
            <v>339.39</v>
          </cell>
          <cell r="K649">
            <v>7</v>
          </cell>
          <cell r="N649">
            <v>1018.17</v>
          </cell>
        </row>
        <row r="650">
          <cell r="E650">
            <v>2</v>
          </cell>
          <cell r="F650">
            <v>575.83000000000004</v>
          </cell>
          <cell r="K650">
            <v>3</v>
          </cell>
          <cell r="N650">
            <v>1151.6600000000001</v>
          </cell>
        </row>
        <row r="651">
          <cell r="E651">
            <v>2</v>
          </cell>
          <cell r="F651">
            <v>642.98</v>
          </cell>
          <cell r="K651">
            <v>7</v>
          </cell>
          <cell r="N651">
            <v>1285.96</v>
          </cell>
        </row>
        <row r="652">
          <cell r="E652">
            <v>2</v>
          </cell>
          <cell r="F652">
            <v>372.23</v>
          </cell>
          <cell r="K652">
            <v>7</v>
          </cell>
          <cell r="N652">
            <v>744.46</v>
          </cell>
        </row>
        <row r="653">
          <cell r="E653">
            <v>3</v>
          </cell>
          <cell r="F653">
            <v>646.34</v>
          </cell>
          <cell r="K653">
            <v>5</v>
          </cell>
          <cell r="N653">
            <v>1939.02</v>
          </cell>
        </row>
        <row r="654">
          <cell r="E654">
            <v>5</v>
          </cell>
          <cell r="F654">
            <v>341.84</v>
          </cell>
          <cell r="K654">
            <v>8</v>
          </cell>
          <cell r="N654">
            <v>1709.2</v>
          </cell>
        </row>
        <row r="655">
          <cell r="E655">
            <v>3</v>
          </cell>
          <cell r="F655">
            <v>690.3</v>
          </cell>
          <cell r="K655">
            <v>6</v>
          </cell>
          <cell r="N655">
            <v>2070.9</v>
          </cell>
        </row>
        <row r="656">
          <cell r="E656">
            <v>3</v>
          </cell>
          <cell r="F656">
            <v>382.37</v>
          </cell>
          <cell r="K656">
            <v>8</v>
          </cell>
          <cell r="N656">
            <v>1147.1099999999999</v>
          </cell>
        </row>
        <row r="657">
          <cell r="E657">
            <v>2</v>
          </cell>
          <cell r="F657">
            <v>132.6</v>
          </cell>
          <cell r="K657">
            <v>4</v>
          </cell>
          <cell r="N657">
            <v>265.2</v>
          </cell>
        </row>
        <row r="658">
          <cell r="E658">
            <v>2</v>
          </cell>
          <cell r="F658">
            <v>189.06</v>
          </cell>
          <cell r="K658">
            <v>7</v>
          </cell>
          <cell r="N658">
            <v>378.12</v>
          </cell>
        </row>
        <row r="659">
          <cell r="E659">
            <v>4</v>
          </cell>
          <cell r="F659">
            <v>87.79</v>
          </cell>
          <cell r="K659">
            <v>6</v>
          </cell>
          <cell r="N659">
            <v>351.16</v>
          </cell>
        </row>
        <row r="660">
          <cell r="E660">
            <v>2</v>
          </cell>
          <cell r="F660">
            <v>46.36</v>
          </cell>
          <cell r="K660">
            <v>4</v>
          </cell>
          <cell r="N660">
            <v>92.72</v>
          </cell>
        </row>
        <row r="661">
          <cell r="E661">
            <v>2</v>
          </cell>
          <cell r="F661">
            <v>642.04</v>
          </cell>
          <cell r="K661">
            <v>4</v>
          </cell>
          <cell r="N661">
            <v>1284.08</v>
          </cell>
        </row>
        <row r="662">
          <cell r="E662">
            <v>2</v>
          </cell>
          <cell r="F662">
            <v>651.57000000000005</v>
          </cell>
          <cell r="K662">
            <v>7</v>
          </cell>
          <cell r="N662">
            <v>1303.1400000000001</v>
          </cell>
        </row>
        <row r="663">
          <cell r="E663">
            <v>3</v>
          </cell>
          <cell r="F663">
            <v>424.89</v>
          </cell>
          <cell r="K663">
            <v>6</v>
          </cell>
          <cell r="N663">
            <v>1274.67</v>
          </cell>
        </row>
        <row r="664">
          <cell r="E664">
            <v>3</v>
          </cell>
          <cell r="F664">
            <v>438.89</v>
          </cell>
          <cell r="K664">
            <v>3</v>
          </cell>
          <cell r="N664">
            <v>1316.67</v>
          </cell>
        </row>
        <row r="665">
          <cell r="E665">
            <v>1</v>
          </cell>
          <cell r="F665">
            <v>72.599999999999994</v>
          </cell>
          <cell r="K665">
            <v>6</v>
          </cell>
          <cell r="N665">
            <v>72.599999999999994</v>
          </cell>
        </row>
        <row r="666">
          <cell r="E666">
            <v>4</v>
          </cell>
          <cell r="F666">
            <v>194.75</v>
          </cell>
          <cell r="K666">
            <v>5</v>
          </cell>
          <cell r="N666">
            <v>779</v>
          </cell>
        </row>
        <row r="667">
          <cell r="E667">
            <v>4</v>
          </cell>
          <cell r="F667">
            <v>231.26</v>
          </cell>
          <cell r="K667">
            <v>6</v>
          </cell>
          <cell r="N667">
            <v>925.04</v>
          </cell>
        </row>
        <row r="668">
          <cell r="E668">
            <v>4</v>
          </cell>
          <cell r="F668">
            <v>327.12</v>
          </cell>
          <cell r="K668">
            <v>4</v>
          </cell>
          <cell r="N668">
            <v>1308.48</v>
          </cell>
        </row>
        <row r="669">
          <cell r="E669">
            <v>1</v>
          </cell>
          <cell r="F669">
            <v>466.42</v>
          </cell>
          <cell r="K669">
            <v>5</v>
          </cell>
          <cell r="N669">
            <v>466.42</v>
          </cell>
        </row>
        <row r="670">
          <cell r="E670">
            <v>2</v>
          </cell>
          <cell r="F670">
            <v>253.67</v>
          </cell>
          <cell r="K670">
            <v>3</v>
          </cell>
          <cell r="N670">
            <v>507.34</v>
          </cell>
        </row>
        <row r="671">
          <cell r="E671">
            <v>1</v>
          </cell>
          <cell r="F671">
            <v>257</v>
          </cell>
          <cell r="K671">
            <v>5</v>
          </cell>
          <cell r="N671">
            <v>257</v>
          </cell>
        </row>
        <row r="672">
          <cell r="E672">
            <v>4</v>
          </cell>
          <cell r="F672">
            <v>539.20000000000005</v>
          </cell>
          <cell r="K672">
            <v>8</v>
          </cell>
          <cell r="N672">
            <v>2156.8000000000002</v>
          </cell>
        </row>
        <row r="673">
          <cell r="E673">
            <v>5</v>
          </cell>
          <cell r="F673">
            <v>50.74</v>
          </cell>
          <cell r="K673">
            <v>7</v>
          </cell>
          <cell r="N673">
            <v>253.7</v>
          </cell>
        </row>
        <row r="674">
          <cell r="E674">
            <v>2</v>
          </cell>
          <cell r="F674">
            <v>624.16</v>
          </cell>
          <cell r="K674">
            <v>2</v>
          </cell>
          <cell r="N674">
            <v>1248.32</v>
          </cell>
        </row>
        <row r="675">
          <cell r="E675">
            <v>2</v>
          </cell>
          <cell r="F675">
            <v>372.92</v>
          </cell>
          <cell r="K675">
            <v>7</v>
          </cell>
          <cell r="N675">
            <v>745.84</v>
          </cell>
        </row>
        <row r="676">
          <cell r="E676">
            <v>4</v>
          </cell>
          <cell r="F676">
            <v>358.75</v>
          </cell>
          <cell r="K676">
            <v>9</v>
          </cell>
          <cell r="N676">
            <v>1435</v>
          </cell>
        </row>
        <row r="677">
          <cell r="E677">
            <v>3</v>
          </cell>
          <cell r="F677">
            <v>342.02</v>
          </cell>
          <cell r="K677">
            <v>5</v>
          </cell>
          <cell r="N677">
            <v>1026.06</v>
          </cell>
        </row>
        <row r="678">
          <cell r="E678">
            <v>2</v>
          </cell>
          <cell r="F678">
            <v>422.34</v>
          </cell>
          <cell r="K678">
            <v>4</v>
          </cell>
          <cell r="N678">
            <v>844.68</v>
          </cell>
        </row>
        <row r="679">
          <cell r="E679">
            <v>5</v>
          </cell>
          <cell r="F679">
            <v>22.07</v>
          </cell>
          <cell r="K679">
            <v>7</v>
          </cell>
          <cell r="N679">
            <v>110.35</v>
          </cell>
        </row>
        <row r="680">
          <cell r="E680">
            <v>3</v>
          </cell>
          <cell r="F680">
            <v>163.13</v>
          </cell>
          <cell r="K680">
            <v>5</v>
          </cell>
          <cell r="N680">
            <v>489.39</v>
          </cell>
        </row>
        <row r="681">
          <cell r="E681">
            <v>3</v>
          </cell>
          <cell r="F681">
            <v>360.66</v>
          </cell>
          <cell r="K681">
            <v>5</v>
          </cell>
          <cell r="N681">
            <v>1081.98</v>
          </cell>
        </row>
        <row r="682">
          <cell r="E682">
            <v>3</v>
          </cell>
          <cell r="F682">
            <v>463.39</v>
          </cell>
          <cell r="K682">
            <v>3</v>
          </cell>
          <cell r="N682">
            <v>1390.17</v>
          </cell>
        </row>
        <row r="683">
          <cell r="E683">
            <v>1</v>
          </cell>
          <cell r="F683">
            <v>155.27000000000001</v>
          </cell>
          <cell r="K683">
            <v>6</v>
          </cell>
          <cell r="N683">
            <v>155.27000000000001</v>
          </cell>
        </row>
        <row r="684">
          <cell r="E684">
            <v>3</v>
          </cell>
          <cell r="F684">
            <v>509.42</v>
          </cell>
          <cell r="K684">
            <v>5</v>
          </cell>
          <cell r="N684">
            <v>1528.26</v>
          </cell>
        </row>
        <row r="685">
          <cell r="E685">
            <v>4</v>
          </cell>
          <cell r="F685">
            <v>652.48</v>
          </cell>
          <cell r="K685">
            <v>5</v>
          </cell>
          <cell r="N685">
            <v>2609.92</v>
          </cell>
        </row>
        <row r="686">
          <cell r="E686">
            <v>4</v>
          </cell>
          <cell r="F686">
            <v>34.840000000000003</v>
          </cell>
          <cell r="K686">
            <v>8</v>
          </cell>
          <cell r="N686">
            <v>139.36000000000001</v>
          </cell>
        </row>
        <row r="687">
          <cell r="E687">
            <v>1</v>
          </cell>
          <cell r="F687">
            <v>234.37</v>
          </cell>
          <cell r="K687">
            <v>5</v>
          </cell>
          <cell r="N687">
            <v>234.37</v>
          </cell>
        </row>
        <row r="688">
          <cell r="E688">
            <v>3</v>
          </cell>
          <cell r="F688">
            <v>53.6</v>
          </cell>
          <cell r="K688">
            <v>4</v>
          </cell>
          <cell r="N688">
            <v>160.80000000000001</v>
          </cell>
        </row>
        <row r="689">
          <cell r="E689">
            <v>1</v>
          </cell>
          <cell r="F689">
            <v>332.09</v>
          </cell>
          <cell r="K689">
            <v>5</v>
          </cell>
          <cell r="N689">
            <v>332.09</v>
          </cell>
        </row>
        <row r="690">
          <cell r="E690">
            <v>4</v>
          </cell>
          <cell r="F690">
            <v>593.22</v>
          </cell>
          <cell r="K690">
            <v>8</v>
          </cell>
          <cell r="N690">
            <v>2372.88</v>
          </cell>
        </row>
        <row r="691">
          <cell r="E691">
            <v>2</v>
          </cell>
          <cell r="F691">
            <v>444.84</v>
          </cell>
          <cell r="K691">
            <v>7</v>
          </cell>
          <cell r="N691">
            <v>889.68</v>
          </cell>
        </row>
        <row r="692">
          <cell r="E692">
            <v>1</v>
          </cell>
          <cell r="F692">
            <v>24.48</v>
          </cell>
          <cell r="K692">
            <v>1</v>
          </cell>
          <cell r="N692">
            <v>24.48</v>
          </cell>
        </row>
        <row r="693">
          <cell r="E693">
            <v>3</v>
          </cell>
          <cell r="F693">
            <v>239.08</v>
          </cell>
          <cell r="K693">
            <v>8</v>
          </cell>
          <cell r="N693">
            <v>717.24</v>
          </cell>
        </row>
        <row r="694">
          <cell r="E694">
            <v>5</v>
          </cell>
          <cell r="F694">
            <v>196.84</v>
          </cell>
          <cell r="K694">
            <v>5</v>
          </cell>
          <cell r="N694">
            <v>984.2</v>
          </cell>
        </row>
        <row r="695">
          <cell r="E695">
            <v>1</v>
          </cell>
          <cell r="F695">
            <v>176.58</v>
          </cell>
          <cell r="K695">
            <v>4</v>
          </cell>
          <cell r="N695">
            <v>176.58</v>
          </cell>
        </row>
        <row r="696">
          <cell r="E696">
            <v>4</v>
          </cell>
          <cell r="F696">
            <v>666.52</v>
          </cell>
          <cell r="K696">
            <v>8</v>
          </cell>
          <cell r="N696">
            <v>2666.08</v>
          </cell>
        </row>
        <row r="697">
          <cell r="E697">
            <v>5</v>
          </cell>
          <cell r="F697">
            <v>101.3</v>
          </cell>
          <cell r="K697">
            <v>7</v>
          </cell>
          <cell r="N697">
            <v>506.5</v>
          </cell>
        </row>
        <row r="698">
          <cell r="E698">
            <v>4</v>
          </cell>
          <cell r="F698">
            <v>151.19999999999999</v>
          </cell>
          <cell r="K698">
            <v>9</v>
          </cell>
          <cell r="N698">
            <v>604.79999999999995</v>
          </cell>
        </row>
        <row r="699">
          <cell r="E699">
            <v>5</v>
          </cell>
          <cell r="F699">
            <v>94.85</v>
          </cell>
          <cell r="K699">
            <v>6</v>
          </cell>
          <cell r="N699">
            <v>474.25</v>
          </cell>
        </row>
        <row r="700">
          <cell r="E700">
            <v>2</v>
          </cell>
          <cell r="F700">
            <v>388.22</v>
          </cell>
          <cell r="K700">
            <v>2</v>
          </cell>
          <cell r="N700">
            <v>776.44</v>
          </cell>
        </row>
        <row r="701">
          <cell r="E701">
            <v>3</v>
          </cell>
          <cell r="F701">
            <v>614.15</v>
          </cell>
          <cell r="K701">
            <v>3</v>
          </cell>
          <cell r="N701">
            <v>1842.45</v>
          </cell>
        </row>
        <row r="702">
          <cell r="E702">
            <v>2</v>
          </cell>
          <cell r="F702">
            <v>92.91</v>
          </cell>
          <cell r="K702">
            <v>3</v>
          </cell>
          <cell r="N702">
            <v>185.82</v>
          </cell>
        </row>
        <row r="703">
          <cell r="E703">
            <v>3</v>
          </cell>
          <cell r="F703">
            <v>92.22</v>
          </cell>
          <cell r="K703">
            <v>5</v>
          </cell>
          <cell r="N703">
            <v>276.66000000000003</v>
          </cell>
        </row>
        <row r="704">
          <cell r="E704">
            <v>3</v>
          </cell>
          <cell r="F704">
            <v>562.54999999999995</v>
          </cell>
          <cell r="K704">
            <v>6</v>
          </cell>
          <cell r="N704">
            <v>1687.65</v>
          </cell>
        </row>
        <row r="705">
          <cell r="E705">
            <v>1</v>
          </cell>
          <cell r="F705">
            <v>92.79</v>
          </cell>
          <cell r="K705">
            <v>3</v>
          </cell>
          <cell r="N705">
            <v>92.79</v>
          </cell>
        </row>
        <row r="706">
          <cell r="E706">
            <v>4</v>
          </cell>
          <cell r="F706">
            <v>30.27</v>
          </cell>
          <cell r="K706">
            <v>9</v>
          </cell>
          <cell r="N706">
            <v>121.08</v>
          </cell>
        </row>
        <row r="707">
          <cell r="E707">
            <v>2</v>
          </cell>
          <cell r="F707">
            <v>49.08</v>
          </cell>
          <cell r="K707">
            <v>7</v>
          </cell>
          <cell r="N707">
            <v>98.16</v>
          </cell>
        </row>
        <row r="708">
          <cell r="E708">
            <v>5</v>
          </cell>
          <cell r="F708">
            <v>228.09</v>
          </cell>
          <cell r="K708">
            <v>9</v>
          </cell>
          <cell r="N708">
            <v>1140.45</v>
          </cell>
        </row>
        <row r="709">
          <cell r="E709">
            <v>4</v>
          </cell>
          <cell r="F709">
            <v>650.04</v>
          </cell>
          <cell r="K709">
            <v>6</v>
          </cell>
          <cell r="N709">
            <v>2600.16</v>
          </cell>
        </row>
        <row r="710">
          <cell r="E710">
            <v>1</v>
          </cell>
          <cell r="F710">
            <v>665.11</v>
          </cell>
          <cell r="K710">
            <v>3</v>
          </cell>
          <cell r="N710">
            <v>665.11</v>
          </cell>
        </row>
        <row r="711">
          <cell r="E711">
            <v>1</v>
          </cell>
          <cell r="F711">
            <v>386.03</v>
          </cell>
          <cell r="K711">
            <v>4</v>
          </cell>
          <cell r="N711">
            <v>386.03</v>
          </cell>
        </row>
        <row r="712">
          <cell r="E712">
            <v>5</v>
          </cell>
          <cell r="F712">
            <v>21.54</v>
          </cell>
          <cell r="K712">
            <v>10</v>
          </cell>
          <cell r="N712">
            <v>107.7</v>
          </cell>
        </row>
        <row r="713">
          <cell r="E713">
            <v>2</v>
          </cell>
          <cell r="F713">
            <v>475.78</v>
          </cell>
          <cell r="K713">
            <v>2</v>
          </cell>
          <cell r="N713">
            <v>951.56</v>
          </cell>
        </row>
        <row r="714">
          <cell r="E714">
            <v>2</v>
          </cell>
          <cell r="F714">
            <v>68.400000000000006</v>
          </cell>
          <cell r="K714">
            <v>7</v>
          </cell>
          <cell r="N714">
            <v>136.80000000000001</v>
          </cell>
        </row>
        <row r="715">
          <cell r="E715">
            <v>4</v>
          </cell>
          <cell r="F715">
            <v>532.49</v>
          </cell>
          <cell r="K715">
            <v>6</v>
          </cell>
          <cell r="N715">
            <v>2129.96</v>
          </cell>
        </row>
        <row r="716">
          <cell r="E716">
            <v>1</v>
          </cell>
          <cell r="F716">
            <v>51.73</v>
          </cell>
          <cell r="K716">
            <v>1</v>
          </cell>
          <cell r="N716">
            <v>51.73</v>
          </cell>
        </row>
        <row r="717">
          <cell r="E717">
            <v>3</v>
          </cell>
          <cell r="F717">
            <v>653.63</v>
          </cell>
          <cell r="K717">
            <v>7</v>
          </cell>
          <cell r="N717">
            <v>1960.89</v>
          </cell>
        </row>
        <row r="718">
          <cell r="E718">
            <v>3</v>
          </cell>
          <cell r="F718">
            <v>454.29</v>
          </cell>
          <cell r="K718">
            <v>4</v>
          </cell>
          <cell r="N718">
            <v>1362.87</v>
          </cell>
        </row>
        <row r="719">
          <cell r="E719">
            <v>3</v>
          </cell>
          <cell r="F719">
            <v>122.11</v>
          </cell>
          <cell r="K719">
            <v>4</v>
          </cell>
          <cell r="N719">
            <v>366.33</v>
          </cell>
        </row>
        <row r="720">
          <cell r="E720">
            <v>4</v>
          </cell>
          <cell r="F720">
            <v>64.739999999999995</v>
          </cell>
          <cell r="K720">
            <v>8</v>
          </cell>
          <cell r="N720">
            <v>258.95999999999998</v>
          </cell>
        </row>
        <row r="721">
          <cell r="E721">
            <v>2</v>
          </cell>
          <cell r="F721">
            <v>681.06</v>
          </cell>
          <cell r="K721">
            <v>3</v>
          </cell>
          <cell r="N721">
            <v>1362.12</v>
          </cell>
        </row>
        <row r="722">
          <cell r="E722">
            <v>5</v>
          </cell>
          <cell r="F722">
            <v>128.94999999999999</v>
          </cell>
          <cell r="K722">
            <v>10</v>
          </cell>
          <cell r="N722">
            <v>644.75</v>
          </cell>
        </row>
        <row r="723">
          <cell r="E723">
            <v>2</v>
          </cell>
          <cell r="F723">
            <v>118.59</v>
          </cell>
          <cell r="K723">
            <v>2</v>
          </cell>
          <cell r="N723">
            <v>237.18</v>
          </cell>
        </row>
        <row r="724">
          <cell r="E724">
            <v>1</v>
          </cell>
          <cell r="F724">
            <v>95.1</v>
          </cell>
          <cell r="K724">
            <v>1</v>
          </cell>
          <cell r="N724">
            <v>95.1</v>
          </cell>
        </row>
        <row r="725">
          <cell r="E725">
            <v>3</v>
          </cell>
          <cell r="F725">
            <v>54.95</v>
          </cell>
          <cell r="K725">
            <v>8</v>
          </cell>
          <cell r="N725">
            <v>164.85</v>
          </cell>
        </row>
        <row r="726">
          <cell r="E726">
            <v>3</v>
          </cell>
          <cell r="F726">
            <v>136.97</v>
          </cell>
          <cell r="K726">
            <v>4</v>
          </cell>
          <cell r="N726">
            <v>410.91</v>
          </cell>
        </row>
        <row r="727">
          <cell r="E727">
            <v>2</v>
          </cell>
          <cell r="F727">
            <v>194.85</v>
          </cell>
          <cell r="K727">
            <v>5</v>
          </cell>
          <cell r="N727">
            <v>389.7</v>
          </cell>
        </row>
        <row r="728">
          <cell r="E728">
            <v>4</v>
          </cell>
          <cell r="F728">
            <v>583.02</v>
          </cell>
          <cell r="K728">
            <v>4</v>
          </cell>
          <cell r="N728">
            <v>2332.08</v>
          </cell>
        </row>
        <row r="729">
          <cell r="E729">
            <v>5</v>
          </cell>
          <cell r="F729">
            <v>95.75</v>
          </cell>
          <cell r="K729">
            <v>8</v>
          </cell>
          <cell r="N729">
            <v>478.75</v>
          </cell>
        </row>
        <row r="730">
          <cell r="E730">
            <v>4</v>
          </cell>
          <cell r="F730">
            <v>325.76</v>
          </cell>
          <cell r="K730">
            <v>8</v>
          </cell>
          <cell r="N730">
            <v>1303.04</v>
          </cell>
        </row>
        <row r="731">
          <cell r="E731">
            <v>4</v>
          </cell>
          <cell r="F731">
            <v>186.41</v>
          </cell>
          <cell r="K731">
            <v>6</v>
          </cell>
          <cell r="N731">
            <v>745.64</v>
          </cell>
        </row>
        <row r="732">
          <cell r="E732">
            <v>1</v>
          </cell>
          <cell r="F732">
            <v>474.6</v>
          </cell>
          <cell r="K732">
            <v>4</v>
          </cell>
          <cell r="N732">
            <v>474.6</v>
          </cell>
        </row>
        <row r="733">
          <cell r="E733">
            <v>5</v>
          </cell>
          <cell r="F733">
            <v>584.46</v>
          </cell>
          <cell r="K733">
            <v>8</v>
          </cell>
          <cell r="N733">
            <v>2922.3</v>
          </cell>
        </row>
        <row r="734">
          <cell r="E734">
            <v>1</v>
          </cell>
          <cell r="F734">
            <v>132.05000000000001</v>
          </cell>
          <cell r="K734">
            <v>2</v>
          </cell>
          <cell r="N734">
            <v>132.05000000000001</v>
          </cell>
        </row>
        <row r="735">
          <cell r="E735">
            <v>4</v>
          </cell>
          <cell r="F735">
            <v>494.84</v>
          </cell>
          <cell r="K735">
            <v>8</v>
          </cell>
          <cell r="N735">
            <v>1979.36</v>
          </cell>
        </row>
        <row r="736">
          <cell r="E736">
            <v>4</v>
          </cell>
          <cell r="F736">
            <v>224.61</v>
          </cell>
          <cell r="K736">
            <v>6</v>
          </cell>
          <cell r="N736">
            <v>898.44</v>
          </cell>
        </row>
        <row r="737">
          <cell r="E737">
            <v>4</v>
          </cell>
          <cell r="F737">
            <v>44.07</v>
          </cell>
          <cell r="K737">
            <v>6</v>
          </cell>
          <cell r="N737">
            <v>176.28</v>
          </cell>
        </row>
        <row r="738">
          <cell r="E738">
            <v>5</v>
          </cell>
          <cell r="F738">
            <v>418.53</v>
          </cell>
          <cell r="K738">
            <v>6</v>
          </cell>
          <cell r="N738">
            <v>2092.65</v>
          </cell>
        </row>
        <row r="739">
          <cell r="E739">
            <v>4</v>
          </cell>
          <cell r="F739">
            <v>532.87</v>
          </cell>
          <cell r="K739">
            <v>9</v>
          </cell>
          <cell r="N739">
            <v>2131.48</v>
          </cell>
        </row>
        <row r="740">
          <cell r="E740">
            <v>2</v>
          </cell>
          <cell r="F740">
            <v>485.37</v>
          </cell>
          <cell r="K740">
            <v>5</v>
          </cell>
          <cell r="N740">
            <v>970.74</v>
          </cell>
        </row>
        <row r="741">
          <cell r="E741">
            <v>4</v>
          </cell>
          <cell r="F741">
            <v>386.73</v>
          </cell>
          <cell r="K741">
            <v>4</v>
          </cell>
          <cell r="N741">
            <v>1546.92</v>
          </cell>
        </row>
        <row r="742">
          <cell r="E742">
            <v>2</v>
          </cell>
          <cell r="F742">
            <v>377.47</v>
          </cell>
          <cell r="K742">
            <v>7</v>
          </cell>
          <cell r="N742">
            <v>754.94</v>
          </cell>
        </row>
        <row r="743">
          <cell r="E743">
            <v>5</v>
          </cell>
          <cell r="F743">
            <v>332.64</v>
          </cell>
          <cell r="K743">
            <v>10</v>
          </cell>
          <cell r="N743">
            <v>1663.2</v>
          </cell>
        </row>
        <row r="744">
          <cell r="E744">
            <v>3</v>
          </cell>
          <cell r="F744">
            <v>699.93</v>
          </cell>
          <cell r="K744">
            <v>7</v>
          </cell>
          <cell r="N744">
            <v>2099.79</v>
          </cell>
        </row>
        <row r="745">
          <cell r="E745">
            <v>1</v>
          </cell>
          <cell r="F745">
            <v>576.35</v>
          </cell>
          <cell r="K745">
            <v>1</v>
          </cell>
          <cell r="N745">
            <v>576.35</v>
          </cell>
        </row>
        <row r="746">
          <cell r="E746">
            <v>2</v>
          </cell>
          <cell r="F746">
            <v>461.37</v>
          </cell>
          <cell r="K746">
            <v>5</v>
          </cell>
          <cell r="N746">
            <v>922.74</v>
          </cell>
        </row>
        <row r="747">
          <cell r="E747">
            <v>4</v>
          </cell>
          <cell r="F747">
            <v>111.3</v>
          </cell>
          <cell r="K747">
            <v>7</v>
          </cell>
          <cell r="N747">
            <v>445.2</v>
          </cell>
        </row>
        <row r="748">
          <cell r="E748">
            <v>3</v>
          </cell>
          <cell r="F748">
            <v>661.89</v>
          </cell>
          <cell r="K748">
            <v>6</v>
          </cell>
          <cell r="N748">
            <v>1985.67</v>
          </cell>
        </row>
        <row r="749">
          <cell r="E749">
            <v>2</v>
          </cell>
          <cell r="F749">
            <v>259.58</v>
          </cell>
          <cell r="K749">
            <v>7</v>
          </cell>
          <cell r="N749">
            <v>519.16</v>
          </cell>
        </row>
        <row r="750">
          <cell r="E750">
            <v>3</v>
          </cell>
          <cell r="F750">
            <v>70.81</v>
          </cell>
          <cell r="K750">
            <v>8</v>
          </cell>
          <cell r="N750">
            <v>212.43</v>
          </cell>
        </row>
        <row r="751">
          <cell r="E751">
            <v>1</v>
          </cell>
          <cell r="F751">
            <v>518.39</v>
          </cell>
          <cell r="K751">
            <v>4</v>
          </cell>
          <cell r="N751">
            <v>518.39</v>
          </cell>
        </row>
        <row r="752">
          <cell r="E752">
            <v>4</v>
          </cell>
          <cell r="F752">
            <v>145.41</v>
          </cell>
          <cell r="K752">
            <v>7</v>
          </cell>
          <cell r="N752">
            <v>581.64</v>
          </cell>
        </row>
        <row r="753">
          <cell r="E753">
            <v>2</v>
          </cell>
          <cell r="F753">
            <v>599.86</v>
          </cell>
          <cell r="K753">
            <v>7</v>
          </cell>
          <cell r="N753">
            <v>1199.72</v>
          </cell>
        </row>
        <row r="754">
          <cell r="E754">
            <v>4</v>
          </cell>
          <cell r="F754">
            <v>429.37</v>
          </cell>
          <cell r="K754">
            <v>8</v>
          </cell>
          <cell r="N754">
            <v>1717.48</v>
          </cell>
        </row>
        <row r="755">
          <cell r="E755">
            <v>2</v>
          </cell>
          <cell r="F755">
            <v>241.49</v>
          </cell>
          <cell r="K755">
            <v>7</v>
          </cell>
          <cell r="N755">
            <v>482.98</v>
          </cell>
        </row>
        <row r="756">
          <cell r="E756">
            <v>2</v>
          </cell>
          <cell r="F756">
            <v>452.05</v>
          </cell>
          <cell r="K756">
            <v>3</v>
          </cell>
          <cell r="N756">
            <v>904.1</v>
          </cell>
        </row>
        <row r="757">
          <cell r="E757">
            <v>3</v>
          </cell>
          <cell r="F757">
            <v>336.71</v>
          </cell>
          <cell r="K757">
            <v>4</v>
          </cell>
          <cell r="N757">
            <v>1010.13</v>
          </cell>
        </row>
        <row r="758">
          <cell r="E758">
            <v>1</v>
          </cell>
          <cell r="F758">
            <v>283.69</v>
          </cell>
          <cell r="K758">
            <v>6</v>
          </cell>
          <cell r="N758">
            <v>283.69</v>
          </cell>
        </row>
        <row r="759">
          <cell r="E759">
            <v>1</v>
          </cell>
          <cell r="F759">
            <v>157.72</v>
          </cell>
          <cell r="K759">
            <v>2</v>
          </cell>
          <cell r="N759">
            <v>157.72</v>
          </cell>
        </row>
        <row r="760">
          <cell r="E760">
            <v>3</v>
          </cell>
          <cell r="F760">
            <v>624.84</v>
          </cell>
          <cell r="K760">
            <v>8</v>
          </cell>
          <cell r="N760">
            <v>1874.52</v>
          </cell>
        </row>
        <row r="761">
          <cell r="E761">
            <v>3</v>
          </cell>
          <cell r="F761">
            <v>308.01</v>
          </cell>
          <cell r="K761">
            <v>3</v>
          </cell>
          <cell r="N761">
            <v>924.03</v>
          </cell>
        </row>
        <row r="762">
          <cell r="E762">
            <v>1</v>
          </cell>
          <cell r="F762">
            <v>39.56</v>
          </cell>
          <cell r="K762">
            <v>5</v>
          </cell>
          <cell r="N762">
            <v>39.56</v>
          </cell>
        </row>
        <row r="763">
          <cell r="E763">
            <v>4</v>
          </cell>
          <cell r="F763">
            <v>37.76</v>
          </cell>
          <cell r="K763">
            <v>7</v>
          </cell>
          <cell r="N763">
            <v>151.04</v>
          </cell>
        </row>
        <row r="764">
          <cell r="E764">
            <v>3</v>
          </cell>
          <cell r="F764">
            <v>76.959999999999994</v>
          </cell>
          <cell r="K764">
            <v>8</v>
          </cell>
          <cell r="N764">
            <v>230.88</v>
          </cell>
        </row>
        <row r="765">
          <cell r="E765">
            <v>1</v>
          </cell>
          <cell r="F765">
            <v>569.96</v>
          </cell>
          <cell r="K765">
            <v>4</v>
          </cell>
          <cell r="N765">
            <v>569.96</v>
          </cell>
        </row>
        <row r="766">
          <cell r="E766">
            <v>5</v>
          </cell>
          <cell r="F766">
            <v>627.42999999999995</v>
          </cell>
          <cell r="K766">
            <v>10</v>
          </cell>
          <cell r="N766">
            <v>3137.15</v>
          </cell>
        </row>
        <row r="767">
          <cell r="E767">
            <v>2</v>
          </cell>
          <cell r="F767">
            <v>534.91</v>
          </cell>
          <cell r="K767">
            <v>5</v>
          </cell>
          <cell r="N767">
            <v>1069.82</v>
          </cell>
        </row>
        <row r="768">
          <cell r="E768">
            <v>2</v>
          </cell>
          <cell r="F768">
            <v>278.88</v>
          </cell>
          <cell r="K768">
            <v>3</v>
          </cell>
          <cell r="N768">
            <v>557.76</v>
          </cell>
        </row>
        <row r="769">
          <cell r="E769">
            <v>2</v>
          </cell>
          <cell r="F769">
            <v>323.22000000000003</v>
          </cell>
          <cell r="K769">
            <v>7</v>
          </cell>
          <cell r="N769">
            <v>646.44000000000005</v>
          </cell>
        </row>
        <row r="770">
          <cell r="E770">
            <v>5</v>
          </cell>
          <cell r="F770">
            <v>653.46</v>
          </cell>
          <cell r="K770">
            <v>9</v>
          </cell>
          <cell r="N770">
            <v>3267.3</v>
          </cell>
        </row>
        <row r="771">
          <cell r="E771">
            <v>4</v>
          </cell>
          <cell r="F771">
            <v>678.55</v>
          </cell>
          <cell r="K771">
            <v>5</v>
          </cell>
          <cell r="N771">
            <v>2714.2</v>
          </cell>
        </row>
        <row r="772">
          <cell r="E772">
            <v>1</v>
          </cell>
          <cell r="F772">
            <v>314.38</v>
          </cell>
          <cell r="K772">
            <v>6</v>
          </cell>
          <cell r="N772">
            <v>314.38</v>
          </cell>
        </row>
        <row r="773">
          <cell r="E773">
            <v>3</v>
          </cell>
          <cell r="F773">
            <v>692.44</v>
          </cell>
          <cell r="K773">
            <v>8</v>
          </cell>
          <cell r="N773">
            <v>2077.3200000000002</v>
          </cell>
        </row>
        <row r="774">
          <cell r="E774">
            <v>1</v>
          </cell>
          <cell r="F774">
            <v>604.87</v>
          </cell>
          <cell r="K774">
            <v>4</v>
          </cell>
          <cell r="N774">
            <v>604.87</v>
          </cell>
        </row>
        <row r="775">
          <cell r="E775">
            <v>2</v>
          </cell>
          <cell r="F775">
            <v>512.33000000000004</v>
          </cell>
          <cell r="K775">
            <v>7</v>
          </cell>
          <cell r="N775">
            <v>1024.6600000000001</v>
          </cell>
        </row>
        <row r="776">
          <cell r="E776">
            <v>3</v>
          </cell>
          <cell r="F776">
            <v>20.54</v>
          </cell>
          <cell r="K776">
            <v>3</v>
          </cell>
          <cell r="N776">
            <v>61.62</v>
          </cell>
        </row>
        <row r="777">
          <cell r="E777">
            <v>2</v>
          </cell>
          <cell r="F777">
            <v>625.22</v>
          </cell>
          <cell r="K777">
            <v>5</v>
          </cell>
          <cell r="N777">
            <v>1250.44</v>
          </cell>
        </row>
        <row r="778">
          <cell r="E778">
            <v>1</v>
          </cell>
          <cell r="F778">
            <v>21.19</v>
          </cell>
          <cell r="K778">
            <v>5</v>
          </cell>
          <cell r="N778">
            <v>21.19</v>
          </cell>
        </row>
        <row r="779">
          <cell r="E779">
            <v>5</v>
          </cell>
          <cell r="F779">
            <v>64.489999999999995</v>
          </cell>
          <cell r="K779">
            <v>7</v>
          </cell>
          <cell r="N779">
            <v>322.45</v>
          </cell>
        </row>
        <row r="780">
          <cell r="E780">
            <v>4</v>
          </cell>
          <cell r="F780">
            <v>246.85</v>
          </cell>
          <cell r="K780">
            <v>8</v>
          </cell>
          <cell r="N780">
            <v>987.4</v>
          </cell>
        </row>
        <row r="781">
          <cell r="E781">
            <v>3</v>
          </cell>
          <cell r="F781">
            <v>588.74</v>
          </cell>
          <cell r="K781">
            <v>8</v>
          </cell>
          <cell r="N781">
            <v>1766.22</v>
          </cell>
        </row>
        <row r="782">
          <cell r="E782">
            <v>4</v>
          </cell>
          <cell r="F782">
            <v>184.48</v>
          </cell>
          <cell r="K782">
            <v>4</v>
          </cell>
          <cell r="N782">
            <v>737.92</v>
          </cell>
        </row>
        <row r="783">
          <cell r="E783">
            <v>5</v>
          </cell>
          <cell r="F783">
            <v>524.26</v>
          </cell>
          <cell r="K783">
            <v>5</v>
          </cell>
          <cell r="N783">
            <v>2621.3000000000002</v>
          </cell>
        </row>
        <row r="784">
          <cell r="E784">
            <v>2</v>
          </cell>
          <cell r="F784">
            <v>493.63</v>
          </cell>
          <cell r="K784">
            <v>6</v>
          </cell>
          <cell r="N784">
            <v>987.26</v>
          </cell>
        </row>
        <row r="785">
          <cell r="E785">
            <v>1</v>
          </cell>
          <cell r="F785">
            <v>438.34</v>
          </cell>
          <cell r="K785">
            <v>5</v>
          </cell>
          <cell r="N785">
            <v>438.34</v>
          </cell>
        </row>
        <row r="786">
          <cell r="E786">
            <v>1</v>
          </cell>
          <cell r="F786">
            <v>325.81</v>
          </cell>
          <cell r="K786">
            <v>1</v>
          </cell>
          <cell r="N786">
            <v>325.81</v>
          </cell>
        </row>
        <row r="787">
          <cell r="E787">
            <v>1</v>
          </cell>
          <cell r="F787">
            <v>176.1</v>
          </cell>
          <cell r="K787">
            <v>1</v>
          </cell>
          <cell r="N787">
            <v>176.1</v>
          </cell>
        </row>
        <row r="788">
          <cell r="E788">
            <v>5</v>
          </cell>
          <cell r="F788">
            <v>45.31</v>
          </cell>
          <cell r="K788">
            <v>8</v>
          </cell>
          <cell r="N788">
            <v>226.55</v>
          </cell>
        </row>
        <row r="789">
          <cell r="E789">
            <v>4</v>
          </cell>
          <cell r="F789">
            <v>221.96</v>
          </cell>
          <cell r="K789">
            <v>7</v>
          </cell>
          <cell r="N789">
            <v>887.84</v>
          </cell>
        </row>
        <row r="790">
          <cell r="E790">
            <v>2</v>
          </cell>
          <cell r="F790">
            <v>601.42999999999995</v>
          </cell>
          <cell r="K790">
            <v>5</v>
          </cell>
          <cell r="N790">
            <v>1202.8599999999999</v>
          </cell>
        </row>
        <row r="791">
          <cell r="E791">
            <v>5</v>
          </cell>
          <cell r="F791">
            <v>691.28</v>
          </cell>
          <cell r="K791">
            <v>10</v>
          </cell>
          <cell r="N791">
            <v>3456.4</v>
          </cell>
        </row>
        <row r="792">
          <cell r="E792">
            <v>4</v>
          </cell>
          <cell r="F792">
            <v>417.89</v>
          </cell>
          <cell r="K792">
            <v>4</v>
          </cell>
          <cell r="N792">
            <v>1671.56</v>
          </cell>
        </row>
        <row r="793">
          <cell r="E793">
            <v>4</v>
          </cell>
          <cell r="F793">
            <v>409.28</v>
          </cell>
          <cell r="K793">
            <v>8</v>
          </cell>
          <cell r="N793">
            <v>1637.12</v>
          </cell>
        </row>
        <row r="794">
          <cell r="E794">
            <v>2</v>
          </cell>
          <cell r="F794">
            <v>356.35</v>
          </cell>
          <cell r="K794">
            <v>6</v>
          </cell>
          <cell r="N794">
            <v>712.7</v>
          </cell>
        </row>
        <row r="795">
          <cell r="E795">
            <v>5</v>
          </cell>
          <cell r="F795">
            <v>170.22</v>
          </cell>
          <cell r="K795">
            <v>8</v>
          </cell>
          <cell r="N795">
            <v>851.1</v>
          </cell>
        </row>
        <row r="796">
          <cell r="E796">
            <v>4</v>
          </cell>
          <cell r="F796">
            <v>384.85</v>
          </cell>
          <cell r="K796">
            <v>9</v>
          </cell>
          <cell r="N796">
            <v>1539.4</v>
          </cell>
        </row>
        <row r="797">
          <cell r="E797">
            <v>4</v>
          </cell>
          <cell r="F797">
            <v>115.77</v>
          </cell>
          <cell r="K797">
            <v>7</v>
          </cell>
          <cell r="N797">
            <v>463.08</v>
          </cell>
        </row>
        <row r="798">
          <cell r="E798">
            <v>3</v>
          </cell>
          <cell r="F798">
            <v>579.54999999999995</v>
          </cell>
          <cell r="K798">
            <v>8</v>
          </cell>
          <cell r="N798">
            <v>1738.65</v>
          </cell>
        </row>
        <row r="799">
          <cell r="E799">
            <v>2</v>
          </cell>
          <cell r="F799">
            <v>438.76</v>
          </cell>
          <cell r="K799">
            <v>2</v>
          </cell>
          <cell r="N799">
            <v>877.52</v>
          </cell>
        </row>
        <row r="800">
          <cell r="E800">
            <v>5</v>
          </cell>
          <cell r="F800">
            <v>488.35</v>
          </cell>
          <cell r="K800">
            <v>9</v>
          </cell>
          <cell r="N800">
            <v>2441.75</v>
          </cell>
        </row>
        <row r="801">
          <cell r="E801">
            <v>4</v>
          </cell>
          <cell r="F801">
            <v>328.56</v>
          </cell>
          <cell r="K801">
            <v>4</v>
          </cell>
          <cell r="N801">
            <v>1314.24</v>
          </cell>
        </row>
        <row r="802">
          <cell r="E802">
            <v>1</v>
          </cell>
          <cell r="F802">
            <v>68.39</v>
          </cell>
          <cell r="K802">
            <v>3</v>
          </cell>
          <cell r="N802">
            <v>68.39</v>
          </cell>
        </row>
        <row r="803">
          <cell r="E803">
            <v>4</v>
          </cell>
          <cell r="F803">
            <v>595.62</v>
          </cell>
          <cell r="K803">
            <v>8</v>
          </cell>
          <cell r="N803">
            <v>2382.48</v>
          </cell>
        </row>
        <row r="804">
          <cell r="E804">
            <v>5</v>
          </cell>
          <cell r="F804">
            <v>644.64</v>
          </cell>
          <cell r="K804">
            <v>6</v>
          </cell>
          <cell r="N804">
            <v>3223.2</v>
          </cell>
        </row>
        <row r="805">
          <cell r="E805">
            <v>5</v>
          </cell>
          <cell r="F805">
            <v>397.81</v>
          </cell>
          <cell r="K805">
            <v>5</v>
          </cell>
          <cell r="N805">
            <v>1989.05</v>
          </cell>
        </row>
        <row r="806">
          <cell r="E806">
            <v>3</v>
          </cell>
          <cell r="F806">
            <v>236.5</v>
          </cell>
          <cell r="K806">
            <v>8</v>
          </cell>
          <cell r="N806">
            <v>709.5</v>
          </cell>
        </row>
        <row r="807">
          <cell r="E807">
            <v>5</v>
          </cell>
          <cell r="F807">
            <v>472.01</v>
          </cell>
          <cell r="K807">
            <v>10</v>
          </cell>
          <cell r="N807">
            <v>2360.0500000000002</v>
          </cell>
        </row>
        <row r="808">
          <cell r="E808">
            <v>5</v>
          </cell>
          <cell r="F808">
            <v>253.75</v>
          </cell>
          <cell r="K808">
            <v>9</v>
          </cell>
          <cell r="N808">
            <v>1268.75</v>
          </cell>
        </row>
        <row r="809">
          <cell r="E809">
            <v>3</v>
          </cell>
          <cell r="F809">
            <v>676.21</v>
          </cell>
          <cell r="K809">
            <v>5</v>
          </cell>
          <cell r="N809">
            <v>2028.63</v>
          </cell>
        </row>
        <row r="810">
          <cell r="E810">
            <v>3</v>
          </cell>
          <cell r="F810">
            <v>134.05000000000001</v>
          </cell>
          <cell r="K810">
            <v>3</v>
          </cell>
          <cell r="N810">
            <v>402.15</v>
          </cell>
        </row>
        <row r="811">
          <cell r="E811">
            <v>5</v>
          </cell>
          <cell r="F811">
            <v>217.43</v>
          </cell>
          <cell r="K811">
            <v>10</v>
          </cell>
          <cell r="N811">
            <v>1087.1500000000001</v>
          </cell>
        </row>
        <row r="812">
          <cell r="E812">
            <v>1</v>
          </cell>
          <cell r="F812">
            <v>553.55999999999995</v>
          </cell>
          <cell r="K812">
            <v>5</v>
          </cell>
          <cell r="N812">
            <v>553.55999999999995</v>
          </cell>
        </row>
        <row r="813">
          <cell r="E813">
            <v>2</v>
          </cell>
          <cell r="F813">
            <v>28.55</v>
          </cell>
          <cell r="K813">
            <v>7</v>
          </cell>
          <cell r="N813">
            <v>57.1</v>
          </cell>
        </row>
        <row r="814">
          <cell r="E814">
            <v>2</v>
          </cell>
          <cell r="F814">
            <v>255.26</v>
          </cell>
          <cell r="K814">
            <v>6</v>
          </cell>
          <cell r="N814">
            <v>510.52</v>
          </cell>
        </row>
        <row r="815">
          <cell r="E815">
            <v>5</v>
          </cell>
          <cell r="F815">
            <v>292.54000000000002</v>
          </cell>
          <cell r="K815">
            <v>8</v>
          </cell>
          <cell r="N815">
            <v>1462.7</v>
          </cell>
        </row>
        <row r="816">
          <cell r="E816">
            <v>4</v>
          </cell>
          <cell r="F816">
            <v>147.51</v>
          </cell>
          <cell r="K816">
            <v>4</v>
          </cell>
          <cell r="N816">
            <v>590.04</v>
          </cell>
        </row>
        <row r="817">
          <cell r="E817">
            <v>3</v>
          </cell>
          <cell r="F817">
            <v>569.84</v>
          </cell>
          <cell r="K817">
            <v>8</v>
          </cell>
          <cell r="N817">
            <v>1709.52</v>
          </cell>
        </row>
        <row r="818">
          <cell r="E818">
            <v>5</v>
          </cell>
          <cell r="F818">
            <v>574.79</v>
          </cell>
          <cell r="K818">
            <v>8</v>
          </cell>
          <cell r="N818">
            <v>2873.95</v>
          </cell>
        </row>
        <row r="819">
          <cell r="E819">
            <v>4</v>
          </cell>
          <cell r="F819">
            <v>598.19000000000005</v>
          </cell>
          <cell r="K819">
            <v>7</v>
          </cell>
          <cell r="N819">
            <v>2392.7600000000002</v>
          </cell>
        </row>
        <row r="820">
          <cell r="E820">
            <v>4</v>
          </cell>
          <cell r="F820">
            <v>390.84</v>
          </cell>
          <cell r="K820">
            <v>9</v>
          </cell>
          <cell r="N820">
            <v>1563.36</v>
          </cell>
        </row>
        <row r="821">
          <cell r="E821">
            <v>2</v>
          </cell>
          <cell r="F821">
            <v>398.45</v>
          </cell>
          <cell r="K821">
            <v>7</v>
          </cell>
          <cell r="N821">
            <v>796.9</v>
          </cell>
        </row>
        <row r="822">
          <cell r="E822">
            <v>5</v>
          </cell>
          <cell r="F822">
            <v>623.80999999999995</v>
          </cell>
          <cell r="K822">
            <v>6</v>
          </cell>
          <cell r="N822">
            <v>3119.05</v>
          </cell>
        </row>
        <row r="823">
          <cell r="E823">
            <v>4</v>
          </cell>
          <cell r="F823">
            <v>174.49</v>
          </cell>
          <cell r="K823">
            <v>5</v>
          </cell>
          <cell r="N823">
            <v>697.96</v>
          </cell>
        </row>
        <row r="824">
          <cell r="E824">
            <v>1</v>
          </cell>
          <cell r="F824">
            <v>479.56</v>
          </cell>
          <cell r="K824">
            <v>1</v>
          </cell>
          <cell r="N824">
            <v>479.56</v>
          </cell>
        </row>
        <row r="825">
          <cell r="E825">
            <v>4</v>
          </cell>
          <cell r="F825">
            <v>653.13</v>
          </cell>
          <cell r="K825">
            <v>8</v>
          </cell>
          <cell r="N825">
            <v>2612.52</v>
          </cell>
        </row>
        <row r="826">
          <cell r="E826">
            <v>3</v>
          </cell>
          <cell r="F826">
            <v>481.1</v>
          </cell>
          <cell r="K826">
            <v>3</v>
          </cell>
          <cell r="N826">
            <v>1443.3</v>
          </cell>
        </row>
        <row r="827">
          <cell r="E827">
            <v>5</v>
          </cell>
          <cell r="F827">
            <v>271.69</v>
          </cell>
          <cell r="K827">
            <v>7</v>
          </cell>
          <cell r="N827">
            <v>1358.45</v>
          </cell>
        </row>
        <row r="828">
          <cell r="E828">
            <v>3</v>
          </cell>
          <cell r="F828">
            <v>463.81</v>
          </cell>
          <cell r="K828">
            <v>8</v>
          </cell>
          <cell r="N828">
            <v>1391.43</v>
          </cell>
        </row>
        <row r="829">
          <cell r="E829">
            <v>2</v>
          </cell>
          <cell r="F829">
            <v>639.88</v>
          </cell>
          <cell r="K829">
            <v>5</v>
          </cell>
          <cell r="N829">
            <v>1279.76</v>
          </cell>
        </row>
        <row r="830">
          <cell r="E830">
            <v>4</v>
          </cell>
          <cell r="F830">
            <v>404.58</v>
          </cell>
          <cell r="K830">
            <v>5</v>
          </cell>
          <cell r="N830">
            <v>1618.32</v>
          </cell>
        </row>
        <row r="831">
          <cell r="E831">
            <v>1</v>
          </cell>
          <cell r="F831">
            <v>76.930000000000007</v>
          </cell>
          <cell r="K831">
            <v>6</v>
          </cell>
          <cell r="N831">
            <v>76.930000000000007</v>
          </cell>
        </row>
        <row r="832">
          <cell r="E832">
            <v>4</v>
          </cell>
          <cell r="F832">
            <v>190.64</v>
          </cell>
          <cell r="K832">
            <v>5</v>
          </cell>
          <cell r="N832">
            <v>762.56</v>
          </cell>
        </row>
        <row r="833">
          <cell r="E833">
            <v>2</v>
          </cell>
          <cell r="F833">
            <v>88.73</v>
          </cell>
          <cell r="K833">
            <v>5</v>
          </cell>
          <cell r="N833">
            <v>177.46</v>
          </cell>
        </row>
        <row r="834">
          <cell r="E834">
            <v>5</v>
          </cell>
          <cell r="F834">
            <v>485.71</v>
          </cell>
          <cell r="K834">
            <v>10</v>
          </cell>
          <cell r="N834">
            <v>2428.5500000000002</v>
          </cell>
        </row>
        <row r="835">
          <cell r="E835">
            <v>5</v>
          </cell>
          <cell r="F835">
            <v>78.290000000000006</v>
          </cell>
          <cell r="K835">
            <v>5</v>
          </cell>
          <cell r="N835">
            <v>391.45</v>
          </cell>
        </row>
        <row r="836">
          <cell r="E836">
            <v>5</v>
          </cell>
          <cell r="F836">
            <v>22.14</v>
          </cell>
          <cell r="K836">
            <v>10</v>
          </cell>
          <cell r="N836">
            <v>110.7</v>
          </cell>
        </row>
        <row r="837">
          <cell r="E837">
            <v>1</v>
          </cell>
          <cell r="F837">
            <v>679.65</v>
          </cell>
          <cell r="K837">
            <v>6</v>
          </cell>
          <cell r="N837">
            <v>679.65</v>
          </cell>
        </row>
        <row r="838">
          <cell r="E838">
            <v>1</v>
          </cell>
          <cell r="F838">
            <v>178.44</v>
          </cell>
          <cell r="K838">
            <v>2</v>
          </cell>
          <cell r="N838">
            <v>178.44</v>
          </cell>
        </row>
        <row r="839">
          <cell r="E839">
            <v>5</v>
          </cell>
          <cell r="F839">
            <v>655.55</v>
          </cell>
          <cell r="K839">
            <v>5</v>
          </cell>
          <cell r="N839">
            <v>3277.75</v>
          </cell>
        </row>
        <row r="840">
          <cell r="E840">
            <v>4</v>
          </cell>
          <cell r="F840">
            <v>577.08000000000004</v>
          </cell>
          <cell r="K840">
            <v>8</v>
          </cell>
          <cell r="N840">
            <v>2308.3200000000002</v>
          </cell>
        </row>
        <row r="841">
          <cell r="E841">
            <v>3</v>
          </cell>
          <cell r="F841">
            <v>197.97</v>
          </cell>
          <cell r="K841">
            <v>5</v>
          </cell>
          <cell r="N841">
            <v>593.91</v>
          </cell>
        </row>
        <row r="842">
          <cell r="E842">
            <v>3</v>
          </cell>
          <cell r="F842">
            <v>411.95</v>
          </cell>
          <cell r="K842">
            <v>7</v>
          </cell>
          <cell r="N842">
            <v>1235.8499999999999</v>
          </cell>
        </row>
        <row r="843">
          <cell r="E843">
            <v>2</v>
          </cell>
          <cell r="F843">
            <v>443.22</v>
          </cell>
          <cell r="K843">
            <v>5</v>
          </cell>
          <cell r="N843">
            <v>886.44</v>
          </cell>
        </row>
        <row r="844">
          <cell r="E844">
            <v>3</v>
          </cell>
          <cell r="F844">
            <v>364.14</v>
          </cell>
          <cell r="K844">
            <v>7</v>
          </cell>
          <cell r="N844">
            <v>1092.42</v>
          </cell>
        </row>
        <row r="845">
          <cell r="E845">
            <v>3</v>
          </cell>
          <cell r="F845">
            <v>430.06</v>
          </cell>
          <cell r="K845">
            <v>8</v>
          </cell>
          <cell r="N845">
            <v>1290.18</v>
          </cell>
        </row>
        <row r="846">
          <cell r="E846">
            <v>1</v>
          </cell>
          <cell r="F846">
            <v>320.92</v>
          </cell>
          <cell r="K846">
            <v>5</v>
          </cell>
          <cell r="N846">
            <v>320.92</v>
          </cell>
        </row>
        <row r="847">
          <cell r="E847">
            <v>3</v>
          </cell>
          <cell r="F847">
            <v>107.36</v>
          </cell>
          <cell r="K847">
            <v>5</v>
          </cell>
          <cell r="N847">
            <v>322.08</v>
          </cell>
        </row>
        <row r="848">
          <cell r="E848">
            <v>2</v>
          </cell>
          <cell r="F848">
            <v>359.86</v>
          </cell>
          <cell r="K848">
            <v>4</v>
          </cell>
          <cell r="N848">
            <v>719.72</v>
          </cell>
        </row>
        <row r="849">
          <cell r="E849">
            <v>4</v>
          </cell>
          <cell r="F849">
            <v>434.23</v>
          </cell>
          <cell r="K849">
            <v>8</v>
          </cell>
          <cell r="N849">
            <v>1736.92</v>
          </cell>
        </row>
        <row r="850">
          <cell r="E850">
            <v>2</v>
          </cell>
          <cell r="F850">
            <v>645.85</v>
          </cell>
          <cell r="K850">
            <v>5</v>
          </cell>
          <cell r="N850">
            <v>1291.7</v>
          </cell>
        </row>
        <row r="851">
          <cell r="E851">
            <v>4</v>
          </cell>
          <cell r="F851">
            <v>214.35</v>
          </cell>
          <cell r="K851">
            <v>7</v>
          </cell>
          <cell r="N851">
            <v>857.4</v>
          </cell>
        </row>
        <row r="852">
          <cell r="E852">
            <v>3</v>
          </cell>
          <cell r="F852">
            <v>638.5</v>
          </cell>
          <cell r="K852">
            <v>4</v>
          </cell>
          <cell r="N852">
            <v>1915.5</v>
          </cell>
        </row>
        <row r="853">
          <cell r="E853">
            <v>1</v>
          </cell>
          <cell r="F853">
            <v>365.57</v>
          </cell>
          <cell r="K853">
            <v>5</v>
          </cell>
          <cell r="N853">
            <v>365.57</v>
          </cell>
        </row>
        <row r="854">
          <cell r="E854">
            <v>3</v>
          </cell>
          <cell r="F854">
            <v>568.04999999999995</v>
          </cell>
          <cell r="K854">
            <v>6</v>
          </cell>
          <cell r="N854">
            <v>1704.15</v>
          </cell>
        </row>
        <row r="855">
          <cell r="E855">
            <v>3</v>
          </cell>
          <cell r="F855">
            <v>490.01</v>
          </cell>
          <cell r="K855">
            <v>4</v>
          </cell>
          <cell r="N855">
            <v>1470.03</v>
          </cell>
        </row>
        <row r="856">
          <cell r="E856">
            <v>3</v>
          </cell>
          <cell r="F856">
            <v>372.6</v>
          </cell>
          <cell r="K856">
            <v>7</v>
          </cell>
          <cell r="N856">
            <v>1117.8</v>
          </cell>
        </row>
        <row r="857">
          <cell r="E857">
            <v>5</v>
          </cell>
          <cell r="F857">
            <v>240.61</v>
          </cell>
          <cell r="K857">
            <v>10</v>
          </cell>
          <cell r="N857">
            <v>1203.05</v>
          </cell>
        </row>
        <row r="858">
          <cell r="E858">
            <v>1</v>
          </cell>
          <cell r="F858">
            <v>586.62</v>
          </cell>
          <cell r="K858">
            <v>5</v>
          </cell>
          <cell r="N858">
            <v>586.62</v>
          </cell>
        </row>
        <row r="859">
          <cell r="E859">
            <v>3</v>
          </cell>
          <cell r="F859">
            <v>257.83999999999997</v>
          </cell>
          <cell r="K859">
            <v>4</v>
          </cell>
          <cell r="N859">
            <v>773.52</v>
          </cell>
        </row>
        <row r="860">
          <cell r="E860">
            <v>5</v>
          </cell>
          <cell r="F860">
            <v>435.66</v>
          </cell>
          <cell r="K860">
            <v>9</v>
          </cell>
          <cell r="N860">
            <v>2178.3000000000002</v>
          </cell>
        </row>
        <row r="861">
          <cell r="E861">
            <v>5</v>
          </cell>
          <cell r="F861">
            <v>261.33</v>
          </cell>
          <cell r="K861">
            <v>5</v>
          </cell>
          <cell r="N861">
            <v>1306.6500000000001</v>
          </cell>
        </row>
        <row r="862">
          <cell r="E862">
            <v>1</v>
          </cell>
          <cell r="F862">
            <v>422.54</v>
          </cell>
          <cell r="K862">
            <v>1</v>
          </cell>
          <cell r="N862">
            <v>422.54</v>
          </cell>
        </row>
        <row r="863">
          <cell r="E863">
            <v>5</v>
          </cell>
          <cell r="F863">
            <v>330.45</v>
          </cell>
          <cell r="K863">
            <v>10</v>
          </cell>
          <cell r="N863">
            <v>1652.25</v>
          </cell>
        </row>
        <row r="864">
          <cell r="E864">
            <v>3</v>
          </cell>
          <cell r="F864">
            <v>120.82</v>
          </cell>
          <cell r="K864">
            <v>5</v>
          </cell>
          <cell r="N864">
            <v>362.46</v>
          </cell>
        </row>
        <row r="865">
          <cell r="E865">
            <v>1</v>
          </cell>
          <cell r="F865">
            <v>14.06</v>
          </cell>
          <cell r="K865">
            <v>5</v>
          </cell>
          <cell r="N865">
            <v>14.06</v>
          </cell>
        </row>
        <row r="866">
          <cell r="E866">
            <v>1</v>
          </cell>
          <cell r="F866">
            <v>491.11</v>
          </cell>
          <cell r="K866">
            <v>4</v>
          </cell>
          <cell r="N866">
            <v>491.11</v>
          </cell>
        </row>
        <row r="867">
          <cell r="E867">
            <v>4</v>
          </cell>
          <cell r="F867">
            <v>677.37</v>
          </cell>
          <cell r="K867">
            <v>8</v>
          </cell>
          <cell r="N867">
            <v>2709.48</v>
          </cell>
        </row>
        <row r="868">
          <cell r="E868">
            <v>5</v>
          </cell>
          <cell r="F868">
            <v>189.25</v>
          </cell>
          <cell r="K868">
            <v>10</v>
          </cell>
          <cell r="N868">
            <v>946.25</v>
          </cell>
        </row>
        <row r="869">
          <cell r="E869">
            <v>4</v>
          </cell>
          <cell r="F869">
            <v>142.58000000000001</v>
          </cell>
          <cell r="K869">
            <v>4</v>
          </cell>
          <cell r="N869">
            <v>570.32000000000005</v>
          </cell>
        </row>
        <row r="870">
          <cell r="E870">
            <v>4</v>
          </cell>
          <cell r="F870">
            <v>316.32</v>
          </cell>
          <cell r="K870">
            <v>7</v>
          </cell>
          <cell r="N870">
            <v>1265.28</v>
          </cell>
        </row>
        <row r="871">
          <cell r="E871">
            <v>2</v>
          </cell>
          <cell r="F871">
            <v>533.95000000000005</v>
          </cell>
          <cell r="K871">
            <v>5</v>
          </cell>
          <cell r="N871">
            <v>1067.9000000000001</v>
          </cell>
        </row>
        <row r="872">
          <cell r="E872">
            <v>4</v>
          </cell>
          <cell r="F872">
            <v>470.09</v>
          </cell>
          <cell r="K872">
            <v>4</v>
          </cell>
          <cell r="N872">
            <v>1880.36</v>
          </cell>
        </row>
        <row r="873">
          <cell r="E873">
            <v>3</v>
          </cell>
          <cell r="F873">
            <v>324.3</v>
          </cell>
          <cell r="K873">
            <v>8</v>
          </cell>
          <cell r="N873">
            <v>972.90000000000009</v>
          </cell>
        </row>
        <row r="874">
          <cell r="E874">
            <v>4</v>
          </cell>
          <cell r="F874">
            <v>629.34</v>
          </cell>
          <cell r="K874">
            <v>7</v>
          </cell>
          <cell r="N874">
            <v>2517.36</v>
          </cell>
        </row>
        <row r="875">
          <cell r="E875">
            <v>3</v>
          </cell>
          <cell r="F875">
            <v>136.84</v>
          </cell>
          <cell r="K875">
            <v>3</v>
          </cell>
          <cell r="N875">
            <v>410.52</v>
          </cell>
        </row>
        <row r="876">
          <cell r="E876">
            <v>2</v>
          </cell>
          <cell r="F876">
            <v>488.9</v>
          </cell>
          <cell r="K876">
            <v>7</v>
          </cell>
          <cell r="N876">
            <v>977.8</v>
          </cell>
        </row>
        <row r="877">
          <cell r="E877">
            <v>5</v>
          </cell>
          <cell r="F877">
            <v>133.38999999999999</v>
          </cell>
          <cell r="K877">
            <v>6</v>
          </cell>
          <cell r="N877">
            <v>666.94999999999993</v>
          </cell>
        </row>
        <row r="878">
          <cell r="E878">
            <v>5</v>
          </cell>
          <cell r="F878">
            <v>608.91</v>
          </cell>
          <cell r="K878">
            <v>6</v>
          </cell>
          <cell r="N878">
            <v>3044.55</v>
          </cell>
        </row>
        <row r="879">
          <cell r="E879">
            <v>1</v>
          </cell>
          <cell r="F879">
            <v>524.05999999999995</v>
          </cell>
          <cell r="K879">
            <v>3</v>
          </cell>
          <cell r="N879">
            <v>524.05999999999995</v>
          </cell>
        </row>
        <row r="880">
          <cell r="E880">
            <v>2</v>
          </cell>
          <cell r="F880">
            <v>330.69</v>
          </cell>
          <cell r="K880">
            <v>5</v>
          </cell>
          <cell r="N880">
            <v>661.38</v>
          </cell>
        </row>
        <row r="881">
          <cell r="E881">
            <v>2</v>
          </cell>
          <cell r="F881">
            <v>547.66999999999996</v>
          </cell>
          <cell r="K881">
            <v>3</v>
          </cell>
          <cell r="N881">
            <v>1095.3399999999999</v>
          </cell>
        </row>
        <row r="882">
          <cell r="E882">
            <v>4</v>
          </cell>
          <cell r="F882">
            <v>233.7</v>
          </cell>
          <cell r="K882">
            <v>8</v>
          </cell>
          <cell r="N882">
            <v>934.8</v>
          </cell>
        </row>
        <row r="883">
          <cell r="E883">
            <v>2</v>
          </cell>
          <cell r="F883">
            <v>448.85</v>
          </cell>
          <cell r="K883">
            <v>6</v>
          </cell>
          <cell r="N883">
            <v>897.7</v>
          </cell>
        </row>
        <row r="884">
          <cell r="E884">
            <v>2</v>
          </cell>
          <cell r="F884">
            <v>274.12</v>
          </cell>
          <cell r="K884">
            <v>6</v>
          </cell>
          <cell r="N884">
            <v>548.24</v>
          </cell>
        </row>
        <row r="885">
          <cell r="E885">
            <v>5</v>
          </cell>
          <cell r="F885">
            <v>561.48</v>
          </cell>
          <cell r="K885">
            <v>9</v>
          </cell>
          <cell r="N885">
            <v>2807.4</v>
          </cell>
        </row>
        <row r="886">
          <cell r="E886">
            <v>1</v>
          </cell>
          <cell r="F886">
            <v>595.54</v>
          </cell>
          <cell r="K886">
            <v>4</v>
          </cell>
          <cell r="N886">
            <v>595.54</v>
          </cell>
        </row>
        <row r="887">
          <cell r="E887">
            <v>4</v>
          </cell>
          <cell r="F887">
            <v>515.59</v>
          </cell>
          <cell r="K887">
            <v>7</v>
          </cell>
          <cell r="N887">
            <v>2062.36</v>
          </cell>
        </row>
        <row r="888">
          <cell r="E888">
            <v>1</v>
          </cell>
          <cell r="F888">
            <v>460.13</v>
          </cell>
          <cell r="K888">
            <v>1</v>
          </cell>
          <cell r="N888">
            <v>460.13</v>
          </cell>
        </row>
        <row r="889">
          <cell r="E889">
            <v>3</v>
          </cell>
          <cell r="F889">
            <v>171.66</v>
          </cell>
          <cell r="K889">
            <v>7</v>
          </cell>
          <cell r="N889">
            <v>514.98</v>
          </cell>
        </row>
        <row r="890">
          <cell r="E890">
            <v>2</v>
          </cell>
          <cell r="F890">
            <v>266.95</v>
          </cell>
          <cell r="K890">
            <v>3</v>
          </cell>
          <cell r="N890">
            <v>533.9</v>
          </cell>
        </row>
        <row r="891">
          <cell r="E891">
            <v>5</v>
          </cell>
          <cell r="F891">
            <v>650.72</v>
          </cell>
          <cell r="K891">
            <v>8</v>
          </cell>
          <cell r="N891">
            <v>3253.6</v>
          </cell>
        </row>
        <row r="892">
          <cell r="E892">
            <v>3</v>
          </cell>
          <cell r="F892">
            <v>439.53</v>
          </cell>
          <cell r="K892">
            <v>5</v>
          </cell>
          <cell r="N892">
            <v>1318.59</v>
          </cell>
        </row>
        <row r="893">
          <cell r="E893">
            <v>3</v>
          </cell>
          <cell r="F893">
            <v>654.54</v>
          </cell>
          <cell r="K893">
            <v>7</v>
          </cell>
          <cell r="N893">
            <v>1963.62</v>
          </cell>
        </row>
        <row r="894">
          <cell r="E894">
            <v>1</v>
          </cell>
          <cell r="F894">
            <v>394.53</v>
          </cell>
          <cell r="K894">
            <v>2</v>
          </cell>
          <cell r="N894">
            <v>394.53</v>
          </cell>
        </row>
        <row r="895">
          <cell r="E895">
            <v>1</v>
          </cell>
          <cell r="F895">
            <v>678.01</v>
          </cell>
          <cell r="K895">
            <v>4</v>
          </cell>
          <cell r="N895">
            <v>678.01</v>
          </cell>
        </row>
        <row r="896">
          <cell r="E896">
            <v>3</v>
          </cell>
          <cell r="F896">
            <v>575.01</v>
          </cell>
          <cell r="K896">
            <v>8</v>
          </cell>
          <cell r="N896">
            <v>1725.03</v>
          </cell>
        </row>
        <row r="897">
          <cell r="E897">
            <v>3</v>
          </cell>
          <cell r="F897">
            <v>154.63999999999999</v>
          </cell>
          <cell r="K897">
            <v>6</v>
          </cell>
          <cell r="N897">
            <v>463.92</v>
          </cell>
        </row>
        <row r="898">
          <cell r="E898">
            <v>3</v>
          </cell>
          <cell r="F898">
            <v>147.29</v>
          </cell>
          <cell r="K898">
            <v>3</v>
          </cell>
          <cell r="N898">
            <v>441.87</v>
          </cell>
        </row>
        <row r="899">
          <cell r="E899">
            <v>4</v>
          </cell>
          <cell r="F899">
            <v>481.48</v>
          </cell>
          <cell r="K899">
            <v>5</v>
          </cell>
          <cell r="N899">
            <v>1925.92</v>
          </cell>
        </row>
        <row r="900">
          <cell r="E900">
            <v>3</v>
          </cell>
          <cell r="F900">
            <v>158.37</v>
          </cell>
          <cell r="K900">
            <v>6</v>
          </cell>
          <cell r="N900">
            <v>475.11</v>
          </cell>
        </row>
        <row r="901">
          <cell r="E901">
            <v>2</v>
          </cell>
          <cell r="F901">
            <v>323.37</v>
          </cell>
          <cell r="K901">
            <v>3</v>
          </cell>
          <cell r="N901">
            <v>646.74</v>
          </cell>
        </row>
        <row r="902">
          <cell r="E902">
            <v>5</v>
          </cell>
          <cell r="F902">
            <v>73.83</v>
          </cell>
          <cell r="K902">
            <v>9</v>
          </cell>
          <cell r="N902">
            <v>369.15</v>
          </cell>
        </row>
        <row r="903">
          <cell r="E903">
            <v>1</v>
          </cell>
          <cell r="F903">
            <v>458.63</v>
          </cell>
          <cell r="K903">
            <v>4</v>
          </cell>
          <cell r="N903">
            <v>458.63</v>
          </cell>
        </row>
        <row r="904">
          <cell r="E904">
            <v>4</v>
          </cell>
          <cell r="F904">
            <v>180.25</v>
          </cell>
          <cell r="K904">
            <v>7</v>
          </cell>
          <cell r="N904">
            <v>721</v>
          </cell>
        </row>
        <row r="905">
          <cell r="E905">
            <v>3</v>
          </cell>
          <cell r="F905">
            <v>473.49</v>
          </cell>
          <cell r="K905">
            <v>7</v>
          </cell>
          <cell r="N905">
            <v>1420.47</v>
          </cell>
        </row>
        <row r="906">
          <cell r="E906">
            <v>4</v>
          </cell>
          <cell r="F906">
            <v>237.43</v>
          </cell>
          <cell r="K906">
            <v>8</v>
          </cell>
          <cell r="N906">
            <v>949.72</v>
          </cell>
        </row>
        <row r="907">
          <cell r="E907">
            <v>1</v>
          </cell>
          <cell r="F907">
            <v>442.39</v>
          </cell>
          <cell r="K907">
            <v>6</v>
          </cell>
          <cell r="N907">
            <v>442.39</v>
          </cell>
        </row>
        <row r="908">
          <cell r="E908">
            <v>1</v>
          </cell>
          <cell r="F908">
            <v>62.12</v>
          </cell>
          <cell r="K908">
            <v>2</v>
          </cell>
          <cell r="N908">
            <v>62.12</v>
          </cell>
        </row>
        <row r="909">
          <cell r="E909">
            <v>5</v>
          </cell>
          <cell r="F909">
            <v>298.39</v>
          </cell>
          <cell r="K909">
            <v>7</v>
          </cell>
          <cell r="N909">
            <v>1491.95</v>
          </cell>
        </row>
        <row r="910">
          <cell r="E910">
            <v>2</v>
          </cell>
          <cell r="F910">
            <v>697.93</v>
          </cell>
          <cell r="K910">
            <v>2</v>
          </cell>
          <cell r="N910">
            <v>1395.86</v>
          </cell>
        </row>
        <row r="911">
          <cell r="E911">
            <v>2</v>
          </cell>
          <cell r="F911">
            <v>291.85000000000002</v>
          </cell>
          <cell r="K911">
            <v>5</v>
          </cell>
          <cell r="N911">
            <v>583.70000000000005</v>
          </cell>
        </row>
        <row r="912">
          <cell r="E912">
            <v>3</v>
          </cell>
          <cell r="F912">
            <v>308.98</v>
          </cell>
          <cell r="K912">
            <v>3</v>
          </cell>
          <cell r="N912">
            <v>926.94</v>
          </cell>
        </row>
        <row r="913">
          <cell r="E913">
            <v>5</v>
          </cell>
          <cell r="F913">
            <v>396.86</v>
          </cell>
          <cell r="K913">
            <v>9</v>
          </cell>
          <cell r="N913">
            <v>1984.3</v>
          </cell>
        </row>
        <row r="914">
          <cell r="E914">
            <v>2</v>
          </cell>
          <cell r="F914">
            <v>139.69</v>
          </cell>
          <cell r="K914">
            <v>7</v>
          </cell>
          <cell r="N914">
            <v>279.38</v>
          </cell>
        </row>
        <row r="915">
          <cell r="E915">
            <v>5</v>
          </cell>
          <cell r="F915">
            <v>475.95</v>
          </cell>
          <cell r="K915">
            <v>8</v>
          </cell>
          <cell r="N915">
            <v>2379.75</v>
          </cell>
        </row>
        <row r="916">
          <cell r="E916">
            <v>1</v>
          </cell>
          <cell r="F916">
            <v>626.6</v>
          </cell>
          <cell r="K916">
            <v>4</v>
          </cell>
          <cell r="N916">
            <v>626.6</v>
          </cell>
        </row>
        <row r="917">
          <cell r="E917">
            <v>4</v>
          </cell>
          <cell r="F917">
            <v>502.99</v>
          </cell>
          <cell r="K917">
            <v>4</v>
          </cell>
          <cell r="N917">
            <v>2011.96</v>
          </cell>
        </row>
        <row r="918">
          <cell r="E918">
            <v>5</v>
          </cell>
          <cell r="F918">
            <v>578.83000000000004</v>
          </cell>
          <cell r="K918">
            <v>6</v>
          </cell>
          <cell r="N918">
            <v>2894.15</v>
          </cell>
        </row>
        <row r="919">
          <cell r="E919">
            <v>5</v>
          </cell>
          <cell r="F919">
            <v>383.82</v>
          </cell>
          <cell r="K919">
            <v>7</v>
          </cell>
          <cell r="N919">
            <v>1919.1</v>
          </cell>
        </row>
        <row r="920">
          <cell r="E920">
            <v>5</v>
          </cell>
          <cell r="F920">
            <v>368.25</v>
          </cell>
          <cell r="K920">
            <v>5</v>
          </cell>
          <cell r="N920">
            <v>1841.25</v>
          </cell>
        </row>
        <row r="921">
          <cell r="E921">
            <v>2</v>
          </cell>
          <cell r="F921">
            <v>374.6</v>
          </cell>
          <cell r="K921">
            <v>3</v>
          </cell>
          <cell r="N921">
            <v>749.2</v>
          </cell>
        </row>
        <row r="922">
          <cell r="E922">
            <v>2</v>
          </cell>
          <cell r="F922">
            <v>428.09</v>
          </cell>
          <cell r="K922">
            <v>6</v>
          </cell>
          <cell r="N922">
            <v>856.18</v>
          </cell>
        </row>
        <row r="923">
          <cell r="E923">
            <v>1</v>
          </cell>
          <cell r="F923">
            <v>438.93</v>
          </cell>
          <cell r="K923">
            <v>3</v>
          </cell>
          <cell r="N923">
            <v>438.93</v>
          </cell>
        </row>
        <row r="924">
          <cell r="E924">
            <v>2</v>
          </cell>
          <cell r="F924">
            <v>563.82000000000005</v>
          </cell>
          <cell r="K924">
            <v>3</v>
          </cell>
          <cell r="N924">
            <v>1127.6400000000001</v>
          </cell>
        </row>
        <row r="925">
          <cell r="E925">
            <v>3</v>
          </cell>
          <cell r="F925">
            <v>649.92999999999995</v>
          </cell>
          <cell r="K925">
            <v>7</v>
          </cell>
          <cell r="N925">
            <v>1949.79</v>
          </cell>
        </row>
        <row r="926">
          <cell r="E926">
            <v>5</v>
          </cell>
          <cell r="F926">
            <v>268.43</v>
          </cell>
          <cell r="K926">
            <v>5</v>
          </cell>
          <cell r="N926">
            <v>1342.15</v>
          </cell>
        </row>
        <row r="927">
          <cell r="E927">
            <v>5</v>
          </cell>
          <cell r="F927">
            <v>502.47</v>
          </cell>
          <cell r="K927">
            <v>10</v>
          </cell>
          <cell r="N927">
            <v>2512.35</v>
          </cell>
        </row>
        <row r="928">
          <cell r="E928">
            <v>1</v>
          </cell>
          <cell r="F928">
            <v>26.95</v>
          </cell>
          <cell r="K928">
            <v>1</v>
          </cell>
          <cell r="N928">
            <v>26.95</v>
          </cell>
        </row>
        <row r="929">
          <cell r="E929">
            <v>4</v>
          </cell>
          <cell r="F929">
            <v>64.69</v>
          </cell>
          <cell r="K929">
            <v>7</v>
          </cell>
          <cell r="N929">
            <v>258.76</v>
          </cell>
        </row>
        <row r="930">
          <cell r="E930">
            <v>3</v>
          </cell>
          <cell r="F930">
            <v>247.11</v>
          </cell>
          <cell r="K930">
            <v>3</v>
          </cell>
          <cell r="N930">
            <v>741.33</v>
          </cell>
        </row>
        <row r="931">
          <cell r="E931">
            <v>2</v>
          </cell>
          <cell r="F931">
            <v>536.25</v>
          </cell>
          <cell r="K931">
            <v>3</v>
          </cell>
          <cell r="N931">
            <v>1072.5</v>
          </cell>
        </row>
        <row r="932">
          <cell r="E932">
            <v>2</v>
          </cell>
          <cell r="F932">
            <v>456.04</v>
          </cell>
          <cell r="K932">
            <v>4</v>
          </cell>
          <cell r="N932">
            <v>912.08</v>
          </cell>
        </row>
        <row r="933">
          <cell r="E933">
            <v>2</v>
          </cell>
          <cell r="F933">
            <v>40.229999999999997</v>
          </cell>
          <cell r="K933">
            <v>4</v>
          </cell>
          <cell r="N933">
            <v>80.459999999999994</v>
          </cell>
        </row>
        <row r="934">
          <cell r="E934">
            <v>2</v>
          </cell>
          <cell r="F934">
            <v>72.39</v>
          </cell>
          <cell r="K934">
            <v>7</v>
          </cell>
          <cell r="N934">
            <v>144.78</v>
          </cell>
        </row>
        <row r="935">
          <cell r="E935">
            <v>2</v>
          </cell>
          <cell r="F935">
            <v>394.16</v>
          </cell>
          <cell r="K935">
            <v>2</v>
          </cell>
          <cell r="N935">
            <v>788.32</v>
          </cell>
        </row>
        <row r="936">
          <cell r="E936">
            <v>4</v>
          </cell>
          <cell r="F936">
            <v>119.84</v>
          </cell>
          <cell r="K936">
            <v>8</v>
          </cell>
          <cell r="N936">
            <v>479.36</v>
          </cell>
        </row>
        <row r="937">
          <cell r="E937">
            <v>3</v>
          </cell>
          <cell r="F937">
            <v>692.71</v>
          </cell>
          <cell r="K937">
            <v>3</v>
          </cell>
          <cell r="N937">
            <v>2078.13</v>
          </cell>
        </row>
        <row r="938">
          <cell r="E938">
            <v>4</v>
          </cell>
          <cell r="F938">
            <v>56.66</v>
          </cell>
          <cell r="K938">
            <v>4</v>
          </cell>
          <cell r="N938">
            <v>226.64</v>
          </cell>
        </row>
        <row r="939">
          <cell r="E939">
            <v>2</v>
          </cell>
          <cell r="F939">
            <v>298.52999999999997</v>
          </cell>
          <cell r="K939">
            <v>5</v>
          </cell>
          <cell r="N939">
            <v>597.05999999999995</v>
          </cell>
        </row>
        <row r="940">
          <cell r="E940">
            <v>3</v>
          </cell>
          <cell r="F940">
            <v>331.46</v>
          </cell>
          <cell r="K940">
            <v>6</v>
          </cell>
          <cell r="N940">
            <v>994.37999999999988</v>
          </cell>
        </row>
        <row r="941">
          <cell r="E941">
            <v>2</v>
          </cell>
          <cell r="F941">
            <v>521.4</v>
          </cell>
          <cell r="K941">
            <v>7</v>
          </cell>
          <cell r="N941">
            <v>1042.8</v>
          </cell>
        </row>
        <row r="942">
          <cell r="E942">
            <v>4</v>
          </cell>
          <cell r="F942">
            <v>305.32</v>
          </cell>
          <cell r="K942">
            <v>4</v>
          </cell>
          <cell r="N942">
            <v>1221.28</v>
          </cell>
        </row>
        <row r="943">
          <cell r="E943">
            <v>5</v>
          </cell>
          <cell r="F943">
            <v>111.7</v>
          </cell>
          <cell r="K943">
            <v>9</v>
          </cell>
          <cell r="N943">
            <v>558.5</v>
          </cell>
        </row>
        <row r="944">
          <cell r="E944">
            <v>1</v>
          </cell>
          <cell r="F944">
            <v>479.76</v>
          </cell>
          <cell r="K944">
            <v>1</v>
          </cell>
          <cell r="N944">
            <v>479.76</v>
          </cell>
        </row>
        <row r="945">
          <cell r="E945">
            <v>3</v>
          </cell>
          <cell r="F945">
            <v>193.49</v>
          </cell>
          <cell r="K945">
            <v>6</v>
          </cell>
          <cell r="N945">
            <v>580.47</v>
          </cell>
        </row>
        <row r="946">
          <cell r="E946">
            <v>2</v>
          </cell>
          <cell r="F946">
            <v>426.22</v>
          </cell>
          <cell r="K946">
            <v>7</v>
          </cell>
          <cell r="N946">
            <v>852.44</v>
          </cell>
        </row>
        <row r="947">
          <cell r="E947">
            <v>5</v>
          </cell>
          <cell r="F947">
            <v>276.44</v>
          </cell>
          <cell r="K947">
            <v>10</v>
          </cell>
          <cell r="N947">
            <v>1382.2</v>
          </cell>
        </row>
        <row r="948">
          <cell r="E948">
            <v>2</v>
          </cell>
          <cell r="F948">
            <v>404.96</v>
          </cell>
          <cell r="K948">
            <v>4</v>
          </cell>
          <cell r="N948">
            <v>809.92</v>
          </cell>
        </row>
        <row r="949">
          <cell r="E949">
            <v>4</v>
          </cell>
          <cell r="F949">
            <v>465.66</v>
          </cell>
          <cell r="K949">
            <v>9</v>
          </cell>
          <cell r="N949">
            <v>1862.64</v>
          </cell>
        </row>
        <row r="950">
          <cell r="E950">
            <v>2</v>
          </cell>
          <cell r="F950">
            <v>594.07000000000005</v>
          </cell>
          <cell r="K950">
            <v>2</v>
          </cell>
          <cell r="N950">
            <v>1188.1400000000001</v>
          </cell>
        </row>
        <row r="951">
          <cell r="E951">
            <v>5</v>
          </cell>
          <cell r="F951">
            <v>110.38</v>
          </cell>
          <cell r="K951">
            <v>10</v>
          </cell>
          <cell r="N951">
            <v>551.9</v>
          </cell>
        </row>
        <row r="952">
          <cell r="E952">
            <v>1</v>
          </cell>
          <cell r="F952">
            <v>596.24</v>
          </cell>
          <cell r="K952">
            <v>4</v>
          </cell>
          <cell r="N952">
            <v>596.24</v>
          </cell>
        </row>
        <row r="953">
          <cell r="E953">
            <v>2</v>
          </cell>
          <cell r="F953">
            <v>306.24</v>
          </cell>
          <cell r="K953">
            <v>4</v>
          </cell>
          <cell r="N953">
            <v>612.48</v>
          </cell>
        </row>
        <row r="954">
          <cell r="E954">
            <v>3</v>
          </cell>
          <cell r="F954">
            <v>503.39</v>
          </cell>
          <cell r="K954">
            <v>5</v>
          </cell>
          <cell r="N954">
            <v>1510.17</v>
          </cell>
        </row>
        <row r="955">
          <cell r="E955">
            <v>1</v>
          </cell>
          <cell r="F955">
            <v>131.61000000000001</v>
          </cell>
          <cell r="K955">
            <v>2</v>
          </cell>
          <cell r="N955">
            <v>131.61000000000001</v>
          </cell>
        </row>
        <row r="956">
          <cell r="E956">
            <v>3</v>
          </cell>
          <cell r="F956">
            <v>443.44</v>
          </cell>
          <cell r="K956">
            <v>3</v>
          </cell>
          <cell r="N956">
            <v>1330.32</v>
          </cell>
        </row>
        <row r="957">
          <cell r="E957">
            <v>1</v>
          </cell>
          <cell r="F957">
            <v>408.13</v>
          </cell>
          <cell r="K957">
            <v>3</v>
          </cell>
          <cell r="N957">
            <v>408.13</v>
          </cell>
        </row>
        <row r="958">
          <cell r="E958">
            <v>2</v>
          </cell>
          <cell r="F958">
            <v>160.97999999999999</v>
          </cell>
          <cell r="K958">
            <v>3</v>
          </cell>
          <cell r="N958">
            <v>321.95999999999998</v>
          </cell>
        </row>
        <row r="959">
          <cell r="E959">
            <v>5</v>
          </cell>
          <cell r="F959">
            <v>643.89</v>
          </cell>
          <cell r="K959">
            <v>8</v>
          </cell>
          <cell r="N959">
            <v>3219.45</v>
          </cell>
        </row>
        <row r="960">
          <cell r="E960">
            <v>3</v>
          </cell>
          <cell r="F960">
            <v>158.66</v>
          </cell>
          <cell r="K960">
            <v>7</v>
          </cell>
          <cell r="N960">
            <v>475.98</v>
          </cell>
        </row>
        <row r="961">
          <cell r="E961">
            <v>2</v>
          </cell>
          <cell r="F961">
            <v>143.82</v>
          </cell>
          <cell r="K961">
            <v>6</v>
          </cell>
          <cell r="N961">
            <v>287.64</v>
          </cell>
        </row>
        <row r="962">
          <cell r="E962">
            <v>3</v>
          </cell>
          <cell r="F962">
            <v>379.07</v>
          </cell>
          <cell r="K962">
            <v>3</v>
          </cell>
          <cell r="N962">
            <v>1137.21</v>
          </cell>
        </row>
        <row r="963">
          <cell r="E963">
            <v>1</v>
          </cell>
          <cell r="F963">
            <v>601.36</v>
          </cell>
          <cell r="K963">
            <v>1</v>
          </cell>
          <cell r="N963">
            <v>601.36</v>
          </cell>
        </row>
        <row r="964">
          <cell r="E964">
            <v>2</v>
          </cell>
          <cell r="F964">
            <v>142.08000000000001</v>
          </cell>
          <cell r="K964">
            <v>4</v>
          </cell>
          <cell r="N964">
            <v>284.16000000000003</v>
          </cell>
        </row>
        <row r="965">
          <cell r="E965">
            <v>5</v>
          </cell>
          <cell r="F965">
            <v>530.34</v>
          </cell>
          <cell r="K965">
            <v>9</v>
          </cell>
          <cell r="N965">
            <v>2651.7</v>
          </cell>
        </row>
        <row r="966">
          <cell r="E966">
            <v>5</v>
          </cell>
          <cell r="F966">
            <v>364.42</v>
          </cell>
          <cell r="K966">
            <v>10</v>
          </cell>
          <cell r="N966">
            <v>1822.1</v>
          </cell>
        </row>
        <row r="967">
          <cell r="E967">
            <v>4</v>
          </cell>
          <cell r="F967">
            <v>578.28</v>
          </cell>
          <cell r="K967">
            <v>5</v>
          </cell>
          <cell r="N967">
            <v>2313.12</v>
          </cell>
        </row>
        <row r="968">
          <cell r="E968">
            <v>5</v>
          </cell>
          <cell r="F968">
            <v>280.52</v>
          </cell>
          <cell r="K968">
            <v>7</v>
          </cell>
          <cell r="N968">
            <v>1402.6</v>
          </cell>
        </row>
        <row r="969">
          <cell r="E969">
            <v>5</v>
          </cell>
          <cell r="F969">
            <v>638.91999999999996</v>
          </cell>
          <cell r="K969">
            <v>5</v>
          </cell>
          <cell r="N969">
            <v>3194.6</v>
          </cell>
        </row>
        <row r="970">
          <cell r="E970">
            <v>4</v>
          </cell>
          <cell r="F970">
            <v>412.2</v>
          </cell>
          <cell r="K970">
            <v>6</v>
          </cell>
          <cell r="N970">
            <v>1648.8</v>
          </cell>
        </row>
        <row r="971">
          <cell r="E971">
            <v>1</v>
          </cell>
          <cell r="F971">
            <v>440.34</v>
          </cell>
          <cell r="K971">
            <v>2</v>
          </cell>
          <cell r="N971">
            <v>440.34</v>
          </cell>
        </row>
        <row r="972">
          <cell r="E972">
            <v>1</v>
          </cell>
          <cell r="F972">
            <v>627.15</v>
          </cell>
          <cell r="K972">
            <v>5</v>
          </cell>
          <cell r="N972">
            <v>627.15</v>
          </cell>
        </row>
        <row r="973">
          <cell r="E973">
            <v>2</v>
          </cell>
          <cell r="F973">
            <v>605.26</v>
          </cell>
          <cell r="K973">
            <v>4</v>
          </cell>
          <cell r="N973">
            <v>1210.52</v>
          </cell>
        </row>
        <row r="974">
          <cell r="E974">
            <v>1</v>
          </cell>
          <cell r="F974">
            <v>90.27</v>
          </cell>
          <cell r="K974">
            <v>5</v>
          </cell>
          <cell r="N974">
            <v>90.27</v>
          </cell>
        </row>
        <row r="975">
          <cell r="E975">
            <v>5</v>
          </cell>
          <cell r="F975">
            <v>230.77</v>
          </cell>
          <cell r="K975">
            <v>10</v>
          </cell>
          <cell r="N975">
            <v>1153.8499999999999</v>
          </cell>
        </row>
        <row r="976">
          <cell r="E976">
            <v>5</v>
          </cell>
          <cell r="F976">
            <v>266.77999999999997</v>
          </cell>
          <cell r="K976">
            <v>5</v>
          </cell>
          <cell r="N976">
            <v>1333.9</v>
          </cell>
        </row>
        <row r="977">
          <cell r="E977">
            <v>1</v>
          </cell>
          <cell r="F977">
            <v>105.92</v>
          </cell>
          <cell r="K977">
            <v>6</v>
          </cell>
          <cell r="N977">
            <v>105.92</v>
          </cell>
        </row>
        <row r="978">
          <cell r="E978">
            <v>3</v>
          </cell>
          <cell r="F978">
            <v>589.29999999999995</v>
          </cell>
          <cell r="K978">
            <v>6</v>
          </cell>
          <cell r="N978">
            <v>1767.9</v>
          </cell>
        </row>
        <row r="979">
          <cell r="E979">
            <v>4</v>
          </cell>
          <cell r="F979">
            <v>649.47</v>
          </cell>
          <cell r="K979">
            <v>8</v>
          </cell>
          <cell r="N979">
            <v>2597.88</v>
          </cell>
        </row>
        <row r="980">
          <cell r="E980">
            <v>4</v>
          </cell>
          <cell r="F980">
            <v>107.49</v>
          </cell>
          <cell r="K980">
            <v>5</v>
          </cell>
          <cell r="N980">
            <v>429.96</v>
          </cell>
        </row>
        <row r="981">
          <cell r="E981">
            <v>3</v>
          </cell>
          <cell r="F981">
            <v>669.06</v>
          </cell>
          <cell r="K981">
            <v>7</v>
          </cell>
          <cell r="N981">
            <v>2007.18</v>
          </cell>
        </row>
        <row r="982">
          <cell r="E982">
            <v>3</v>
          </cell>
          <cell r="F982">
            <v>69.650000000000006</v>
          </cell>
          <cell r="K982">
            <v>7</v>
          </cell>
          <cell r="N982">
            <v>208.95</v>
          </cell>
        </row>
        <row r="983">
          <cell r="E983">
            <v>4</v>
          </cell>
          <cell r="F983">
            <v>136.83000000000001</v>
          </cell>
          <cell r="K983">
            <v>8</v>
          </cell>
          <cell r="N983">
            <v>547.32000000000005</v>
          </cell>
        </row>
        <row r="984">
          <cell r="E984">
            <v>1</v>
          </cell>
          <cell r="F984">
            <v>304.11</v>
          </cell>
          <cell r="K984">
            <v>2</v>
          </cell>
          <cell r="N984">
            <v>304.11</v>
          </cell>
        </row>
        <row r="985">
          <cell r="E985">
            <v>4</v>
          </cell>
          <cell r="F985">
            <v>296.27999999999997</v>
          </cell>
          <cell r="K985">
            <v>5</v>
          </cell>
          <cell r="N985">
            <v>1185.1199999999999</v>
          </cell>
        </row>
        <row r="986">
          <cell r="E986">
            <v>1</v>
          </cell>
          <cell r="F986">
            <v>77.64</v>
          </cell>
          <cell r="K986">
            <v>1</v>
          </cell>
          <cell r="N986">
            <v>77.64</v>
          </cell>
        </row>
        <row r="987">
          <cell r="E987">
            <v>1</v>
          </cell>
          <cell r="F987">
            <v>243.71</v>
          </cell>
          <cell r="K987">
            <v>6</v>
          </cell>
          <cell r="N987">
            <v>243.71</v>
          </cell>
        </row>
        <row r="988">
          <cell r="E988">
            <v>4</v>
          </cell>
          <cell r="F988">
            <v>644.96</v>
          </cell>
          <cell r="K988">
            <v>7</v>
          </cell>
          <cell r="N988">
            <v>2579.84</v>
          </cell>
        </row>
        <row r="989">
          <cell r="E989">
            <v>5</v>
          </cell>
          <cell r="F989">
            <v>283.73</v>
          </cell>
          <cell r="K989">
            <v>8</v>
          </cell>
          <cell r="N989">
            <v>1418.65</v>
          </cell>
        </row>
        <row r="990">
          <cell r="E990">
            <v>2</v>
          </cell>
          <cell r="F990">
            <v>629.55999999999995</v>
          </cell>
          <cell r="K990">
            <v>5</v>
          </cell>
          <cell r="N990">
            <v>1259.1199999999999</v>
          </cell>
        </row>
        <row r="991">
          <cell r="E991">
            <v>4</v>
          </cell>
          <cell r="F991">
            <v>246.11</v>
          </cell>
          <cell r="K991">
            <v>4</v>
          </cell>
          <cell r="N991">
            <v>984.44</v>
          </cell>
        </row>
        <row r="992">
          <cell r="E992">
            <v>2</v>
          </cell>
          <cell r="F992">
            <v>418.26</v>
          </cell>
          <cell r="K992">
            <v>2</v>
          </cell>
          <cell r="N992">
            <v>836.52</v>
          </cell>
        </row>
        <row r="993">
          <cell r="E993">
            <v>5</v>
          </cell>
          <cell r="F993">
            <v>127.18</v>
          </cell>
          <cell r="K993">
            <v>10</v>
          </cell>
          <cell r="N993">
            <v>635.90000000000009</v>
          </cell>
        </row>
        <row r="994">
          <cell r="E994">
            <v>3</v>
          </cell>
          <cell r="F994">
            <v>586.21</v>
          </cell>
          <cell r="K994">
            <v>4</v>
          </cell>
          <cell r="N994">
            <v>1758.63</v>
          </cell>
        </row>
        <row r="995">
          <cell r="E995">
            <v>3</v>
          </cell>
          <cell r="F995">
            <v>267.45</v>
          </cell>
          <cell r="K995">
            <v>5</v>
          </cell>
          <cell r="N995">
            <v>802.34999999999991</v>
          </cell>
        </row>
        <row r="996">
          <cell r="E996">
            <v>4</v>
          </cell>
          <cell r="F996">
            <v>615.65</v>
          </cell>
          <cell r="K996">
            <v>9</v>
          </cell>
          <cell r="N996">
            <v>2462.6</v>
          </cell>
        </row>
        <row r="997">
          <cell r="E997">
            <v>2</v>
          </cell>
          <cell r="F997">
            <v>113.29</v>
          </cell>
          <cell r="K997">
            <v>5</v>
          </cell>
          <cell r="N997">
            <v>226.58</v>
          </cell>
        </row>
        <row r="998">
          <cell r="E998">
            <v>4</v>
          </cell>
          <cell r="F998">
            <v>473.86</v>
          </cell>
          <cell r="K998">
            <v>7</v>
          </cell>
          <cell r="N998">
            <v>1895.44</v>
          </cell>
        </row>
        <row r="999">
          <cell r="E999">
            <v>3</v>
          </cell>
          <cell r="F999">
            <v>444.75</v>
          </cell>
          <cell r="K999">
            <v>6</v>
          </cell>
          <cell r="N999">
            <v>1334.25</v>
          </cell>
        </row>
        <row r="1000">
          <cell r="E1000">
            <v>2</v>
          </cell>
          <cell r="F1000">
            <v>183.67</v>
          </cell>
          <cell r="K1000">
            <v>6</v>
          </cell>
          <cell r="N1000">
            <v>367.34</v>
          </cell>
        </row>
        <row r="1001">
          <cell r="E1001">
            <v>1</v>
          </cell>
          <cell r="F1001">
            <v>483.38</v>
          </cell>
          <cell r="K1001">
            <v>6</v>
          </cell>
          <cell r="N1001">
            <v>483.38</v>
          </cell>
        </row>
        <row r="1002">
          <cell r="E1002">
            <v>5</v>
          </cell>
          <cell r="F1002">
            <v>260.93</v>
          </cell>
          <cell r="K1002">
            <v>9</v>
          </cell>
          <cell r="N1002">
            <v>1304.6500000000001</v>
          </cell>
        </row>
        <row r="1003">
          <cell r="E1003">
            <v>2</v>
          </cell>
          <cell r="F1003">
            <v>253.68</v>
          </cell>
          <cell r="K1003">
            <v>6</v>
          </cell>
          <cell r="N1003">
            <v>507.36</v>
          </cell>
        </row>
        <row r="1004">
          <cell r="E1004">
            <v>4</v>
          </cell>
          <cell r="F1004">
            <v>699.88</v>
          </cell>
          <cell r="K1004">
            <v>5</v>
          </cell>
          <cell r="N1004">
            <v>2799.52</v>
          </cell>
        </row>
        <row r="1005">
          <cell r="E1005">
            <v>5</v>
          </cell>
          <cell r="F1005">
            <v>319.97000000000003</v>
          </cell>
          <cell r="K1005">
            <v>7</v>
          </cell>
          <cell r="N1005">
            <v>1599.85</v>
          </cell>
        </row>
        <row r="1006">
          <cell r="E1006">
            <v>4</v>
          </cell>
          <cell r="F1006">
            <v>246.91</v>
          </cell>
          <cell r="K1006">
            <v>8</v>
          </cell>
          <cell r="N1006">
            <v>987.64</v>
          </cell>
        </row>
        <row r="1007">
          <cell r="E1007">
            <v>3</v>
          </cell>
          <cell r="F1007">
            <v>392.85</v>
          </cell>
          <cell r="K1007">
            <v>6</v>
          </cell>
          <cell r="N1007">
            <v>1178.55</v>
          </cell>
        </row>
        <row r="1008">
          <cell r="E1008">
            <v>5</v>
          </cell>
          <cell r="F1008">
            <v>420.98</v>
          </cell>
          <cell r="K1008">
            <v>7</v>
          </cell>
          <cell r="N1008">
            <v>2104.9</v>
          </cell>
        </row>
        <row r="1009">
          <cell r="E1009">
            <v>2</v>
          </cell>
          <cell r="F1009">
            <v>73.260000000000005</v>
          </cell>
          <cell r="K1009">
            <v>4</v>
          </cell>
          <cell r="N1009">
            <v>146.52000000000001</v>
          </cell>
        </row>
        <row r="1010">
          <cell r="E1010">
            <v>3</v>
          </cell>
          <cell r="F1010">
            <v>410.88</v>
          </cell>
          <cell r="K1010">
            <v>8</v>
          </cell>
          <cell r="N1010">
            <v>1232.6400000000001</v>
          </cell>
        </row>
        <row r="1011">
          <cell r="E1011">
            <v>2</v>
          </cell>
          <cell r="F1011">
            <v>176.46</v>
          </cell>
          <cell r="K1011">
            <v>2</v>
          </cell>
          <cell r="N1011">
            <v>352.92</v>
          </cell>
        </row>
        <row r="1012">
          <cell r="E1012">
            <v>3</v>
          </cell>
          <cell r="F1012">
            <v>659.57</v>
          </cell>
          <cell r="K1012">
            <v>6</v>
          </cell>
          <cell r="N1012">
            <v>1978.71</v>
          </cell>
        </row>
        <row r="1013">
          <cell r="E1013">
            <v>2</v>
          </cell>
          <cell r="F1013">
            <v>478.36</v>
          </cell>
          <cell r="K1013">
            <v>3</v>
          </cell>
          <cell r="N1013">
            <v>956.72</v>
          </cell>
        </row>
        <row r="1014">
          <cell r="E1014">
            <v>4</v>
          </cell>
          <cell r="F1014">
            <v>30.05</v>
          </cell>
          <cell r="K1014">
            <v>6</v>
          </cell>
          <cell r="N1014">
            <v>120.2</v>
          </cell>
        </row>
        <row r="1015">
          <cell r="E1015">
            <v>4</v>
          </cell>
          <cell r="F1015">
            <v>300.56</v>
          </cell>
          <cell r="K1015">
            <v>9</v>
          </cell>
          <cell r="N1015">
            <v>1202.24</v>
          </cell>
        </row>
        <row r="1016">
          <cell r="E1016">
            <v>5</v>
          </cell>
          <cell r="F1016">
            <v>226.45</v>
          </cell>
          <cell r="K1016">
            <v>6</v>
          </cell>
          <cell r="N1016">
            <v>1132.25</v>
          </cell>
        </row>
        <row r="1017">
          <cell r="E1017">
            <v>2</v>
          </cell>
          <cell r="F1017">
            <v>349.4</v>
          </cell>
          <cell r="K1017">
            <v>2</v>
          </cell>
          <cell r="N1017">
            <v>698.8</v>
          </cell>
        </row>
        <row r="1018">
          <cell r="E1018">
            <v>5</v>
          </cell>
          <cell r="F1018">
            <v>268.77999999999997</v>
          </cell>
          <cell r="K1018">
            <v>7</v>
          </cell>
          <cell r="N1018">
            <v>1343.9</v>
          </cell>
        </row>
        <row r="1019">
          <cell r="E1019">
            <v>2</v>
          </cell>
          <cell r="F1019">
            <v>680.85</v>
          </cell>
          <cell r="K1019">
            <v>6</v>
          </cell>
          <cell r="N1019">
            <v>1361.7</v>
          </cell>
        </row>
        <row r="1020">
          <cell r="E1020">
            <v>3</v>
          </cell>
          <cell r="F1020">
            <v>182.48</v>
          </cell>
          <cell r="K1020">
            <v>3</v>
          </cell>
          <cell r="N1020">
            <v>547.43999999999994</v>
          </cell>
        </row>
        <row r="1021">
          <cell r="E1021">
            <v>1</v>
          </cell>
          <cell r="F1021">
            <v>277.08999999999997</v>
          </cell>
          <cell r="K1021">
            <v>2</v>
          </cell>
          <cell r="N1021">
            <v>277.08999999999997</v>
          </cell>
        </row>
        <row r="1022">
          <cell r="E1022">
            <v>2</v>
          </cell>
          <cell r="F1022">
            <v>26.5</v>
          </cell>
          <cell r="K1022">
            <v>3</v>
          </cell>
          <cell r="N1022">
            <v>53</v>
          </cell>
        </row>
        <row r="1023">
          <cell r="E1023">
            <v>3</v>
          </cell>
          <cell r="F1023">
            <v>315.27</v>
          </cell>
          <cell r="K1023">
            <v>4</v>
          </cell>
          <cell r="N1023">
            <v>945.81</v>
          </cell>
        </row>
        <row r="1024">
          <cell r="E1024">
            <v>3</v>
          </cell>
          <cell r="F1024">
            <v>450.98</v>
          </cell>
          <cell r="K1024">
            <v>8</v>
          </cell>
          <cell r="N1024">
            <v>1352.94</v>
          </cell>
        </row>
        <row r="1025">
          <cell r="E1025">
            <v>5</v>
          </cell>
          <cell r="F1025">
            <v>233.67</v>
          </cell>
          <cell r="K1025">
            <v>10</v>
          </cell>
          <cell r="N1025">
            <v>1168.3499999999999</v>
          </cell>
        </row>
        <row r="1026">
          <cell r="E1026">
            <v>3</v>
          </cell>
          <cell r="F1026">
            <v>367.75</v>
          </cell>
          <cell r="K1026">
            <v>7</v>
          </cell>
          <cell r="N1026">
            <v>1103.25</v>
          </cell>
        </row>
        <row r="1027">
          <cell r="E1027">
            <v>1</v>
          </cell>
          <cell r="F1027">
            <v>23.53</v>
          </cell>
          <cell r="K1027">
            <v>2</v>
          </cell>
          <cell r="N1027">
            <v>23.53</v>
          </cell>
        </row>
        <row r="1028">
          <cell r="E1028">
            <v>1</v>
          </cell>
          <cell r="F1028">
            <v>677.48</v>
          </cell>
          <cell r="K1028">
            <v>1</v>
          </cell>
          <cell r="N1028">
            <v>677.48</v>
          </cell>
        </row>
        <row r="1029">
          <cell r="E1029">
            <v>4</v>
          </cell>
          <cell r="F1029">
            <v>554.83000000000004</v>
          </cell>
          <cell r="K1029">
            <v>6</v>
          </cell>
          <cell r="N1029">
            <v>2219.3200000000002</v>
          </cell>
        </row>
        <row r="1030">
          <cell r="E1030">
            <v>4</v>
          </cell>
          <cell r="F1030">
            <v>440.31</v>
          </cell>
          <cell r="K1030">
            <v>6</v>
          </cell>
          <cell r="N1030">
            <v>1761.24</v>
          </cell>
        </row>
        <row r="1031">
          <cell r="E1031">
            <v>1</v>
          </cell>
          <cell r="F1031">
            <v>87.06</v>
          </cell>
          <cell r="K1031">
            <v>4</v>
          </cell>
          <cell r="N1031">
            <v>87.06</v>
          </cell>
        </row>
        <row r="1032">
          <cell r="E1032">
            <v>4</v>
          </cell>
          <cell r="F1032">
            <v>245.28</v>
          </cell>
          <cell r="K1032">
            <v>6</v>
          </cell>
          <cell r="N1032">
            <v>981.12</v>
          </cell>
        </row>
        <row r="1033">
          <cell r="E1033">
            <v>5</v>
          </cell>
          <cell r="F1033">
            <v>664.51</v>
          </cell>
          <cell r="K1033">
            <v>8</v>
          </cell>
          <cell r="N1033">
            <v>3322.55</v>
          </cell>
        </row>
        <row r="1034">
          <cell r="E1034">
            <v>1</v>
          </cell>
          <cell r="F1034">
            <v>618.67999999999995</v>
          </cell>
          <cell r="K1034">
            <v>6</v>
          </cell>
          <cell r="N1034">
            <v>618.67999999999995</v>
          </cell>
        </row>
        <row r="1035">
          <cell r="E1035">
            <v>1</v>
          </cell>
          <cell r="F1035">
            <v>370.85</v>
          </cell>
          <cell r="K1035">
            <v>2</v>
          </cell>
          <cell r="N1035">
            <v>370.85</v>
          </cell>
        </row>
        <row r="1036">
          <cell r="E1036">
            <v>4</v>
          </cell>
          <cell r="F1036">
            <v>517.98</v>
          </cell>
          <cell r="K1036">
            <v>8</v>
          </cell>
          <cell r="N1036">
            <v>2071.92</v>
          </cell>
        </row>
        <row r="1037">
          <cell r="E1037">
            <v>4</v>
          </cell>
          <cell r="F1037">
            <v>506.11</v>
          </cell>
          <cell r="K1037">
            <v>5</v>
          </cell>
          <cell r="N1037">
            <v>2024.44</v>
          </cell>
        </row>
        <row r="1038">
          <cell r="E1038">
            <v>3</v>
          </cell>
          <cell r="F1038">
            <v>413.83</v>
          </cell>
          <cell r="K1038">
            <v>8</v>
          </cell>
          <cell r="N1038">
            <v>1241.49</v>
          </cell>
        </row>
        <row r="1039">
          <cell r="E1039">
            <v>1</v>
          </cell>
          <cell r="F1039">
            <v>249.81</v>
          </cell>
          <cell r="K1039">
            <v>1</v>
          </cell>
          <cell r="N1039">
            <v>249.81</v>
          </cell>
        </row>
        <row r="1040">
          <cell r="E1040">
            <v>3</v>
          </cell>
          <cell r="F1040">
            <v>362.53</v>
          </cell>
          <cell r="K1040">
            <v>5</v>
          </cell>
          <cell r="N1040">
            <v>1087.5899999999999</v>
          </cell>
        </row>
        <row r="1041">
          <cell r="E1041">
            <v>2</v>
          </cell>
          <cell r="F1041">
            <v>299.23</v>
          </cell>
          <cell r="K1041">
            <v>2</v>
          </cell>
          <cell r="N1041">
            <v>598.46</v>
          </cell>
        </row>
        <row r="1042">
          <cell r="E1042">
            <v>1</v>
          </cell>
          <cell r="F1042">
            <v>536.07000000000005</v>
          </cell>
          <cell r="K1042">
            <v>5</v>
          </cell>
          <cell r="N1042">
            <v>536.07000000000005</v>
          </cell>
        </row>
        <row r="1043">
          <cell r="E1043">
            <v>4</v>
          </cell>
          <cell r="F1043">
            <v>558.9</v>
          </cell>
          <cell r="K1043">
            <v>9</v>
          </cell>
          <cell r="N1043">
            <v>2235.6</v>
          </cell>
        </row>
        <row r="1044">
          <cell r="E1044">
            <v>2</v>
          </cell>
          <cell r="F1044">
            <v>409.75</v>
          </cell>
          <cell r="K1044">
            <v>2</v>
          </cell>
          <cell r="N1044">
            <v>819.5</v>
          </cell>
        </row>
        <row r="1045">
          <cell r="E1045">
            <v>2</v>
          </cell>
          <cell r="F1045">
            <v>179.96</v>
          </cell>
          <cell r="K1045">
            <v>5</v>
          </cell>
          <cell r="N1045">
            <v>359.92</v>
          </cell>
        </row>
        <row r="1046">
          <cell r="E1046">
            <v>1</v>
          </cell>
          <cell r="F1046">
            <v>38.49</v>
          </cell>
          <cell r="K1046">
            <v>4</v>
          </cell>
          <cell r="N1046">
            <v>38.49</v>
          </cell>
        </row>
        <row r="1047">
          <cell r="E1047">
            <v>5</v>
          </cell>
          <cell r="F1047">
            <v>316.39999999999998</v>
          </cell>
          <cell r="K1047">
            <v>7</v>
          </cell>
          <cell r="N1047">
            <v>1582</v>
          </cell>
        </row>
        <row r="1048">
          <cell r="E1048">
            <v>3</v>
          </cell>
          <cell r="F1048">
            <v>547.15</v>
          </cell>
          <cell r="K1048">
            <v>4</v>
          </cell>
          <cell r="N1048">
            <v>1641.45</v>
          </cell>
        </row>
        <row r="1049">
          <cell r="E1049">
            <v>4</v>
          </cell>
          <cell r="F1049">
            <v>540.34</v>
          </cell>
          <cell r="K1049">
            <v>6</v>
          </cell>
          <cell r="N1049">
            <v>2161.36</v>
          </cell>
        </row>
        <row r="1050">
          <cell r="E1050">
            <v>4</v>
          </cell>
          <cell r="F1050">
            <v>73.650000000000006</v>
          </cell>
          <cell r="K1050">
            <v>9</v>
          </cell>
          <cell r="N1050">
            <v>294.60000000000002</v>
          </cell>
        </row>
        <row r="1051">
          <cell r="E1051">
            <v>5</v>
          </cell>
          <cell r="F1051">
            <v>391.86</v>
          </cell>
          <cell r="K1051">
            <v>6</v>
          </cell>
          <cell r="N1051">
            <v>1959.3</v>
          </cell>
        </row>
        <row r="1052">
          <cell r="E1052">
            <v>5</v>
          </cell>
          <cell r="F1052">
            <v>69.7</v>
          </cell>
          <cell r="K1052">
            <v>9</v>
          </cell>
          <cell r="N1052">
            <v>348.5</v>
          </cell>
        </row>
        <row r="1053">
          <cell r="E1053">
            <v>5</v>
          </cell>
          <cell r="F1053">
            <v>26.43</v>
          </cell>
          <cell r="K1053">
            <v>5</v>
          </cell>
          <cell r="N1053">
            <v>132.15</v>
          </cell>
        </row>
        <row r="1054">
          <cell r="E1054">
            <v>1</v>
          </cell>
          <cell r="F1054">
            <v>531.74</v>
          </cell>
          <cell r="K1054">
            <v>1</v>
          </cell>
          <cell r="N1054">
            <v>531.74</v>
          </cell>
        </row>
        <row r="1055">
          <cell r="E1055">
            <v>2</v>
          </cell>
          <cell r="F1055">
            <v>496.62</v>
          </cell>
          <cell r="K1055">
            <v>2</v>
          </cell>
          <cell r="N1055">
            <v>993.24</v>
          </cell>
        </row>
        <row r="1056">
          <cell r="E1056">
            <v>1</v>
          </cell>
          <cell r="F1056">
            <v>660.66</v>
          </cell>
          <cell r="K1056">
            <v>3</v>
          </cell>
          <cell r="N1056">
            <v>660.66</v>
          </cell>
        </row>
        <row r="1057">
          <cell r="E1057">
            <v>4</v>
          </cell>
          <cell r="F1057">
            <v>274.82</v>
          </cell>
          <cell r="K1057">
            <v>9</v>
          </cell>
          <cell r="N1057">
            <v>1099.28</v>
          </cell>
        </row>
        <row r="1058">
          <cell r="E1058">
            <v>2</v>
          </cell>
          <cell r="F1058">
            <v>486.35</v>
          </cell>
          <cell r="K1058">
            <v>6</v>
          </cell>
          <cell r="N1058">
            <v>972.7</v>
          </cell>
        </row>
        <row r="1059">
          <cell r="E1059">
            <v>3</v>
          </cell>
          <cell r="F1059">
            <v>428.88</v>
          </cell>
          <cell r="K1059">
            <v>3</v>
          </cell>
          <cell r="N1059">
            <v>1286.6400000000001</v>
          </cell>
        </row>
        <row r="1060">
          <cell r="E1060">
            <v>2</v>
          </cell>
          <cell r="F1060">
            <v>412.14</v>
          </cell>
          <cell r="K1060">
            <v>2</v>
          </cell>
          <cell r="N1060">
            <v>824.28</v>
          </cell>
        </row>
        <row r="1061">
          <cell r="E1061">
            <v>1</v>
          </cell>
          <cell r="F1061">
            <v>265.64</v>
          </cell>
          <cell r="K1061">
            <v>3</v>
          </cell>
          <cell r="N1061">
            <v>265.64</v>
          </cell>
        </row>
        <row r="1062">
          <cell r="E1062">
            <v>2</v>
          </cell>
          <cell r="F1062">
            <v>273.43</v>
          </cell>
          <cell r="K1062">
            <v>7</v>
          </cell>
          <cell r="N1062">
            <v>546.86</v>
          </cell>
        </row>
        <row r="1063">
          <cell r="E1063">
            <v>5</v>
          </cell>
          <cell r="F1063">
            <v>131.69999999999999</v>
          </cell>
          <cell r="K1063">
            <v>8</v>
          </cell>
          <cell r="N1063">
            <v>658.5</v>
          </cell>
        </row>
        <row r="1064">
          <cell r="E1064">
            <v>5</v>
          </cell>
          <cell r="F1064">
            <v>85.52</v>
          </cell>
          <cell r="K1064">
            <v>5</v>
          </cell>
          <cell r="N1064">
            <v>427.6</v>
          </cell>
        </row>
        <row r="1065">
          <cell r="E1065">
            <v>2</v>
          </cell>
          <cell r="F1065">
            <v>320.68</v>
          </cell>
          <cell r="K1065">
            <v>5</v>
          </cell>
          <cell r="N1065">
            <v>641.36</v>
          </cell>
        </row>
        <row r="1066">
          <cell r="E1066">
            <v>4</v>
          </cell>
          <cell r="F1066">
            <v>198.81</v>
          </cell>
          <cell r="K1066">
            <v>9</v>
          </cell>
          <cell r="N1066">
            <v>795.24</v>
          </cell>
        </row>
        <row r="1067">
          <cell r="E1067">
            <v>5</v>
          </cell>
          <cell r="F1067">
            <v>666.8</v>
          </cell>
          <cell r="K1067">
            <v>7</v>
          </cell>
          <cell r="N1067">
            <v>3334</v>
          </cell>
        </row>
        <row r="1068">
          <cell r="E1068">
            <v>1</v>
          </cell>
          <cell r="F1068">
            <v>355.09</v>
          </cell>
          <cell r="K1068">
            <v>5</v>
          </cell>
          <cell r="N1068">
            <v>355.09</v>
          </cell>
        </row>
        <row r="1069">
          <cell r="E1069">
            <v>2</v>
          </cell>
          <cell r="F1069">
            <v>316.2</v>
          </cell>
          <cell r="K1069">
            <v>2</v>
          </cell>
          <cell r="N1069">
            <v>632.4</v>
          </cell>
        </row>
        <row r="1070">
          <cell r="E1070">
            <v>1</v>
          </cell>
          <cell r="F1070">
            <v>133.38999999999999</v>
          </cell>
          <cell r="K1070">
            <v>2</v>
          </cell>
          <cell r="N1070">
            <v>133.38999999999999</v>
          </cell>
        </row>
        <row r="1071">
          <cell r="E1071">
            <v>1</v>
          </cell>
          <cell r="F1071">
            <v>454.23</v>
          </cell>
          <cell r="K1071">
            <v>3</v>
          </cell>
          <cell r="N1071">
            <v>454.23</v>
          </cell>
        </row>
        <row r="1072">
          <cell r="E1072">
            <v>4</v>
          </cell>
          <cell r="F1072">
            <v>491.29</v>
          </cell>
          <cell r="K1072">
            <v>6</v>
          </cell>
          <cell r="N1072">
            <v>1965.16</v>
          </cell>
        </row>
        <row r="1073">
          <cell r="E1073">
            <v>2</v>
          </cell>
          <cell r="F1073">
            <v>255.14</v>
          </cell>
          <cell r="K1073">
            <v>2</v>
          </cell>
          <cell r="N1073">
            <v>510.28</v>
          </cell>
        </row>
        <row r="1074">
          <cell r="E1074">
            <v>1</v>
          </cell>
          <cell r="F1074">
            <v>392.61</v>
          </cell>
          <cell r="K1074">
            <v>4</v>
          </cell>
          <cell r="N1074">
            <v>392.61</v>
          </cell>
        </row>
        <row r="1075">
          <cell r="E1075">
            <v>4</v>
          </cell>
          <cell r="F1075">
            <v>362.06</v>
          </cell>
          <cell r="K1075">
            <v>4</v>
          </cell>
          <cell r="N1075">
            <v>1448.24</v>
          </cell>
        </row>
        <row r="1076">
          <cell r="E1076">
            <v>1</v>
          </cell>
          <cell r="F1076">
            <v>222.73</v>
          </cell>
          <cell r="K1076">
            <v>4</v>
          </cell>
          <cell r="N1076">
            <v>222.73</v>
          </cell>
        </row>
        <row r="1077">
          <cell r="E1077">
            <v>2</v>
          </cell>
          <cell r="F1077">
            <v>552.63</v>
          </cell>
          <cell r="K1077">
            <v>7</v>
          </cell>
          <cell r="N1077">
            <v>1105.26</v>
          </cell>
        </row>
        <row r="1078">
          <cell r="E1078">
            <v>4</v>
          </cell>
          <cell r="F1078">
            <v>686.61</v>
          </cell>
          <cell r="K1078">
            <v>6</v>
          </cell>
          <cell r="N1078">
            <v>2746.44</v>
          </cell>
        </row>
        <row r="1079">
          <cell r="E1079">
            <v>3</v>
          </cell>
          <cell r="F1079">
            <v>305.16000000000003</v>
          </cell>
          <cell r="K1079">
            <v>8</v>
          </cell>
          <cell r="N1079">
            <v>915.48</v>
          </cell>
        </row>
        <row r="1080">
          <cell r="E1080">
            <v>1</v>
          </cell>
          <cell r="F1080">
            <v>41.09</v>
          </cell>
          <cell r="K1080">
            <v>4</v>
          </cell>
          <cell r="N1080">
            <v>41.09</v>
          </cell>
        </row>
        <row r="1081">
          <cell r="E1081">
            <v>5</v>
          </cell>
          <cell r="F1081">
            <v>634</v>
          </cell>
          <cell r="K1081">
            <v>8</v>
          </cell>
          <cell r="N1081">
            <v>3170</v>
          </cell>
        </row>
        <row r="1082">
          <cell r="E1082">
            <v>5</v>
          </cell>
          <cell r="F1082">
            <v>464.74</v>
          </cell>
          <cell r="K1082">
            <v>7</v>
          </cell>
          <cell r="N1082">
            <v>2323.6999999999998</v>
          </cell>
        </row>
        <row r="1083">
          <cell r="E1083">
            <v>4</v>
          </cell>
          <cell r="F1083">
            <v>425.6</v>
          </cell>
          <cell r="K1083">
            <v>5</v>
          </cell>
          <cell r="N1083">
            <v>1702.4</v>
          </cell>
        </row>
        <row r="1084">
          <cell r="E1084">
            <v>3</v>
          </cell>
          <cell r="F1084">
            <v>573.22</v>
          </cell>
          <cell r="K1084">
            <v>5</v>
          </cell>
          <cell r="N1084">
            <v>1719.66</v>
          </cell>
        </row>
        <row r="1085">
          <cell r="E1085">
            <v>1</v>
          </cell>
          <cell r="F1085">
            <v>123.28</v>
          </cell>
          <cell r="K1085">
            <v>3</v>
          </cell>
          <cell r="N1085">
            <v>123.28</v>
          </cell>
        </row>
        <row r="1086">
          <cell r="E1086">
            <v>1</v>
          </cell>
          <cell r="F1086">
            <v>70.819999999999993</v>
          </cell>
          <cell r="K1086">
            <v>1</v>
          </cell>
          <cell r="N1086">
            <v>70.819999999999993</v>
          </cell>
        </row>
        <row r="1087">
          <cell r="E1087">
            <v>2</v>
          </cell>
          <cell r="F1087">
            <v>646.69000000000005</v>
          </cell>
          <cell r="K1087">
            <v>7</v>
          </cell>
          <cell r="N1087">
            <v>1293.3800000000001</v>
          </cell>
        </row>
        <row r="1088">
          <cell r="E1088">
            <v>2</v>
          </cell>
          <cell r="F1088">
            <v>513.41999999999996</v>
          </cell>
          <cell r="K1088">
            <v>5</v>
          </cell>
          <cell r="N1088">
            <v>1026.8399999999999</v>
          </cell>
        </row>
        <row r="1089">
          <cell r="E1089">
            <v>4</v>
          </cell>
          <cell r="F1089">
            <v>693.07</v>
          </cell>
          <cell r="K1089">
            <v>8</v>
          </cell>
          <cell r="N1089">
            <v>2772.28</v>
          </cell>
        </row>
        <row r="1090">
          <cell r="E1090">
            <v>3</v>
          </cell>
          <cell r="F1090">
            <v>491.43</v>
          </cell>
          <cell r="K1090">
            <v>6</v>
          </cell>
          <cell r="N1090">
            <v>1474.29</v>
          </cell>
        </row>
        <row r="1091">
          <cell r="E1091">
            <v>2</v>
          </cell>
          <cell r="F1091">
            <v>599.74</v>
          </cell>
          <cell r="K1091">
            <v>2</v>
          </cell>
          <cell r="N1091">
            <v>1199.48</v>
          </cell>
        </row>
        <row r="1092">
          <cell r="E1092">
            <v>2</v>
          </cell>
          <cell r="F1092">
            <v>650.25</v>
          </cell>
          <cell r="K1092">
            <v>6</v>
          </cell>
          <cell r="N1092">
            <v>1300.5</v>
          </cell>
        </row>
        <row r="1093">
          <cell r="E1093">
            <v>3</v>
          </cell>
          <cell r="F1093">
            <v>209.48</v>
          </cell>
          <cell r="K1093">
            <v>4</v>
          </cell>
          <cell r="N1093">
            <v>628.43999999999994</v>
          </cell>
        </row>
        <row r="1094">
          <cell r="E1094">
            <v>5</v>
          </cell>
          <cell r="F1094">
            <v>209.2</v>
          </cell>
          <cell r="K1094">
            <v>6</v>
          </cell>
          <cell r="N1094">
            <v>1046</v>
          </cell>
        </row>
        <row r="1095">
          <cell r="E1095">
            <v>4</v>
          </cell>
          <cell r="F1095">
            <v>197.36</v>
          </cell>
          <cell r="K1095">
            <v>9</v>
          </cell>
          <cell r="N1095">
            <v>789.44</v>
          </cell>
        </row>
        <row r="1096">
          <cell r="E1096">
            <v>4</v>
          </cell>
          <cell r="F1096">
            <v>648.91</v>
          </cell>
          <cell r="K1096">
            <v>6</v>
          </cell>
          <cell r="N1096">
            <v>2595.64</v>
          </cell>
        </row>
        <row r="1097">
          <cell r="E1097">
            <v>2</v>
          </cell>
          <cell r="F1097">
            <v>441.54</v>
          </cell>
          <cell r="K1097">
            <v>2</v>
          </cell>
          <cell r="N1097">
            <v>883.08</v>
          </cell>
        </row>
        <row r="1098">
          <cell r="E1098">
            <v>2</v>
          </cell>
          <cell r="F1098">
            <v>464.92</v>
          </cell>
          <cell r="K1098">
            <v>2</v>
          </cell>
          <cell r="N1098">
            <v>929.84</v>
          </cell>
        </row>
        <row r="1099">
          <cell r="E1099">
            <v>5</v>
          </cell>
          <cell r="F1099">
            <v>506.45</v>
          </cell>
          <cell r="K1099">
            <v>7</v>
          </cell>
          <cell r="N1099">
            <v>2532.25</v>
          </cell>
        </row>
        <row r="1100">
          <cell r="E1100">
            <v>4</v>
          </cell>
          <cell r="F1100">
            <v>255.86</v>
          </cell>
          <cell r="K1100">
            <v>7</v>
          </cell>
          <cell r="N1100">
            <v>1023.44</v>
          </cell>
        </row>
        <row r="1101">
          <cell r="E1101">
            <v>2</v>
          </cell>
          <cell r="F1101">
            <v>125.23</v>
          </cell>
          <cell r="K1101">
            <v>3</v>
          </cell>
          <cell r="N1101">
            <v>250.46</v>
          </cell>
        </row>
        <row r="1102">
          <cell r="E1102">
            <v>5</v>
          </cell>
          <cell r="F1102">
            <v>38.11</v>
          </cell>
          <cell r="K1102">
            <v>6</v>
          </cell>
          <cell r="N1102">
            <v>190.55</v>
          </cell>
        </row>
        <row r="1103">
          <cell r="E1103">
            <v>3</v>
          </cell>
          <cell r="F1103">
            <v>161.97</v>
          </cell>
          <cell r="K1103">
            <v>4</v>
          </cell>
          <cell r="N1103">
            <v>485.91</v>
          </cell>
        </row>
        <row r="1104">
          <cell r="E1104">
            <v>4</v>
          </cell>
          <cell r="F1104">
            <v>347.17</v>
          </cell>
          <cell r="K1104">
            <v>8</v>
          </cell>
          <cell r="N1104">
            <v>1388.68</v>
          </cell>
        </row>
        <row r="1105">
          <cell r="E1105">
            <v>4</v>
          </cell>
          <cell r="F1105">
            <v>276.32</v>
          </cell>
          <cell r="K1105">
            <v>5</v>
          </cell>
          <cell r="N1105">
            <v>1105.28</v>
          </cell>
        </row>
        <row r="1106">
          <cell r="E1106">
            <v>4</v>
          </cell>
          <cell r="F1106">
            <v>314.76</v>
          </cell>
          <cell r="K1106">
            <v>8</v>
          </cell>
          <cell r="N1106">
            <v>1259.04</v>
          </cell>
        </row>
        <row r="1107">
          <cell r="E1107">
            <v>3</v>
          </cell>
          <cell r="F1107">
            <v>475.69</v>
          </cell>
          <cell r="K1107">
            <v>3</v>
          </cell>
          <cell r="N1107">
            <v>1427.07</v>
          </cell>
        </row>
        <row r="1108">
          <cell r="E1108">
            <v>1</v>
          </cell>
          <cell r="F1108">
            <v>372.8</v>
          </cell>
          <cell r="K1108">
            <v>6</v>
          </cell>
          <cell r="N1108">
            <v>372.8</v>
          </cell>
        </row>
        <row r="1109">
          <cell r="E1109">
            <v>2</v>
          </cell>
          <cell r="F1109">
            <v>63.21</v>
          </cell>
          <cell r="K1109">
            <v>4</v>
          </cell>
          <cell r="N1109">
            <v>126.42</v>
          </cell>
        </row>
        <row r="1110">
          <cell r="E1110">
            <v>1</v>
          </cell>
          <cell r="F1110">
            <v>634.94000000000005</v>
          </cell>
          <cell r="K1110">
            <v>5</v>
          </cell>
          <cell r="N1110">
            <v>634.94000000000005</v>
          </cell>
        </row>
        <row r="1111">
          <cell r="E1111">
            <v>4</v>
          </cell>
          <cell r="F1111">
            <v>77.47</v>
          </cell>
          <cell r="K1111">
            <v>7</v>
          </cell>
          <cell r="N1111">
            <v>309.88</v>
          </cell>
        </row>
        <row r="1112">
          <cell r="E1112">
            <v>3</v>
          </cell>
          <cell r="F1112">
            <v>84.31</v>
          </cell>
          <cell r="K1112">
            <v>3</v>
          </cell>
          <cell r="N1112">
            <v>252.93</v>
          </cell>
        </row>
        <row r="1113">
          <cell r="E1113">
            <v>4</v>
          </cell>
          <cell r="F1113">
            <v>234.45</v>
          </cell>
          <cell r="K1113">
            <v>9</v>
          </cell>
          <cell r="N1113">
            <v>937.8</v>
          </cell>
        </row>
        <row r="1114">
          <cell r="E1114">
            <v>1</v>
          </cell>
          <cell r="F1114">
            <v>356.81</v>
          </cell>
          <cell r="K1114">
            <v>1</v>
          </cell>
          <cell r="N1114">
            <v>356.81</v>
          </cell>
        </row>
        <row r="1115">
          <cell r="E1115">
            <v>4</v>
          </cell>
          <cell r="F1115">
            <v>209.99</v>
          </cell>
          <cell r="K1115">
            <v>8</v>
          </cell>
          <cell r="N1115">
            <v>839.96</v>
          </cell>
        </row>
        <row r="1116">
          <cell r="E1116">
            <v>3</v>
          </cell>
          <cell r="F1116">
            <v>659.88</v>
          </cell>
          <cell r="K1116">
            <v>3</v>
          </cell>
          <cell r="N1116">
            <v>1979.64</v>
          </cell>
        </row>
        <row r="1117">
          <cell r="E1117">
            <v>2</v>
          </cell>
          <cell r="F1117">
            <v>336.32</v>
          </cell>
          <cell r="K1117">
            <v>3</v>
          </cell>
          <cell r="N1117">
            <v>672.64</v>
          </cell>
        </row>
        <row r="1118">
          <cell r="E1118">
            <v>2</v>
          </cell>
          <cell r="F1118">
            <v>531.49</v>
          </cell>
          <cell r="K1118">
            <v>7</v>
          </cell>
          <cell r="N1118">
            <v>1062.98</v>
          </cell>
        </row>
        <row r="1119">
          <cell r="E1119">
            <v>3</v>
          </cell>
          <cell r="F1119">
            <v>588.44000000000005</v>
          </cell>
          <cell r="K1119">
            <v>8</v>
          </cell>
          <cell r="N1119">
            <v>1765.32</v>
          </cell>
        </row>
        <row r="1120">
          <cell r="E1120">
            <v>3</v>
          </cell>
          <cell r="F1120">
            <v>251.48</v>
          </cell>
          <cell r="K1120">
            <v>4</v>
          </cell>
          <cell r="N1120">
            <v>754.43999999999994</v>
          </cell>
        </row>
        <row r="1121">
          <cell r="E1121">
            <v>1</v>
          </cell>
          <cell r="F1121">
            <v>684.65</v>
          </cell>
          <cell r="K1121">
            <v>1</v>
          </cell>
          <cell r="N1121">
            <v>684.65</v>
          </cell>
        </row>
        <row r="1122">
          <cell r="E1122">
            <v>1</v>
          </cell>
          <cell r="F1122">
            <v>195.86</v>
          </cell>
          <cell r="K1122">
            <v>3</v>
          </cell>
          <cell r="N1122">
            <v>195.86</v>
          </cell>
        </row>
        <row r="1123">
          <cell r="E1123">
            <v>3</v>
          </cell>
          <cell r="F1123">
            <v>50.34</v>
          </cell>
          <cell r="K1123">
            <v>3</v>
          </cell>
          <cell r="N1123">
            <v>151.02000000000001</v>
          </cell>
        </row>
        <row r="1124">
          <cell r="E1124">
            <v>5</v>
          </cell>
          <cell r="F1124">
            <v>678.19</v>
          </cell>
          <cell r="K1124">
            <v>8</v>
          </cell>
          <cell r="N1124">
            <v>3390.95</v>
          </cell>
        </row>
        <row r="1125">
          <cell r="E1125">
            <v>3</v>
          </cell>
          <cell r="F1125">
            <v>554.25</v>
          </cell>
          <cell r="K1125">
            <v>6</v>
          </cell>
          <cell r="N1125">
            <v>1662.75</v>
          </cell>
        </row>
        <row r="1126">
          <cell r="E1126">
            <v>4</v>
          </cell>
          <cell r="F1126">
            <v>576.87</v>
          </cell>
          <cell r="K1126">
            <v>5</v>
          </cell>
          <cell r="N1126">
            <v>2307.48</v>
          </cell>
        </row>
        <row r="1127">
          <cell r="E1127">
            <v>4</v>
          </cell>
          <cell r="F1127">
            <v>408.36</v>
          </cell>
          <cell r="K1127">
            <v>4</v>
          </cell>
          <cell r="N1127">
            <v>1633.44</v>
          </cell>
        </row>
        <row r="1128">
          <cell r="E1128">
            <v>5</v>
          </cell>
          <cell r="F1128">
            <v>190.11</v>
          </cell>
          <cell r="K1128">
            <v>7</v>
          </cell>
          <cell r="N1128">
            <v>950.55000000000007</v>
          </cell>
        </row>
        <row r="1129">
          <cell r="E1129">
            <v>3</v>
          </cell>
          <cell r="F1129">
            <v>602.75</v>
          </cell>
          <cell r="K1129">
            <v>6</v>
          </cell>
          <cell r="N1129">
            <v>1808.25</v>
          </cell>
        </row>
        <row r="1130">
          <cell r="E1130">
            <v>3</v>
          </cell>
          <cell r="F1130">
            <v>646.79</v>
          </cell>
          <cell r="K1130">
            <v>5</v>
          </cell>
          <cell r="N1130">
            <v>1940.37</v>
          </cell>
        </row>
        <row r="1131">
          <cell r="E1131">
            <v>4</v>
          </cell>
          <cell r="F1131">
            <v>418.71</v>
          </cell>
          <cell r="K1131">
            <v>8</v>
          </cell>
          <cell r="N1131">
            <v>1674.84</v>
          </cell>
        </row>
        <row r="1132">
          <cell r="E1132">
            <v>2</v>
          </cell>
          <cell r="F1132">
            <v>323.45</v>
          </cell>
          <cell r="K1132">
            <v>5</v>
          </cell>
          <cell r="N1132">
            <v>646.9</v>
          </cell>
        </row>
        <row r="1133">
          <cell r="E1133">
            <v>1</v>
          </cell>
          <cell r="F1133">
            <v>694.5</v>
          </cell>
          <cell r="K1133">
            <v>3</v>
          </cell>
          <cell r="N1133">
            <v>694.5</v>
          </cell>
        </row>
        <row r="1134">
          <cell r="E1134">
            <v>2</v>
          </cell>
          <cell r="F1134">
            <v>337.32</v>
          </cell>
          <cell r="K1134">
            <v>4</v>
          </cell>
          <cell r="N1134">
            <v>674.64</v>
          </cell>
        </row>
        <row r="1135">
          <cell r="E1135">
            <v>2</v>
          </cell>
          <cell r="F1135">
            <v>467.91</v>
          </cell>
          <cell r="K1135">
            <v>5</v>
          </cell>
          <cell r="N1135">
            <v>935.82</v>
          </cell>
        </row>
        <row r="1136">
          <cell r="E1136">
            <v>4</v>
          </cell>
          <cell r="F1136">
            <v>38.28</v>
          </cell>
          <cell r="K1136">
            <v>4</v>
          </cell>
          <cell r="N1136">
            <v>153.12</v>
          </cell>
        </row>
        <row r="1137">
          <cell r="E1137">
            <v>2</v>
          </cell>
          <cell r="F1137">
            <v>73.41</v>
          </cell>
          <cell r="K1137">
            <v>2</v>
          </cell>
          <cell r="N1137">
            <v>146.82</v>
          </cell>
        </row>
        <row r="1138">
          <cell r="E1138">
            <v>3</v>
          </cell>
          <cell r="F1138">
            <v>668.33</v>
          </cell>
          <cell r="K1138">
            <v>4</v>
          </cell>
          <cell r="N1138">
            <v>2004.99</v>
          </cell>
        </row>
        <row r="1139">
          <cell r="E1139">
            <v>4</v>
          </cell>
          <cell r="F1139">
            <v>410.21</v>
          </cell>
          <cell r="K1139">
            <v>5</v>
          </cell>
          <cell r="N1139">
            <v>1640.84</v>
          </cell>
        </row>
        <row r="1140">
          <cell r="E1140">
            <v>4</v>
          </cell>
          <cell r="F1140">
            <v>294.41000000000003</v>
          </cell>
          <cell r="K1140">
            <v>4</v>
          </cell>
          <cell r="N1140">
            <v>1177.6400000000001</v>
          </cell>
        </row>
        <row r="1141">
          <cell r="E1141">
            <v>3</v>
          </cell>
          <cell r="F1141">
            <v>501.82</v>
          </cell>
          <cell r="K1141">
            <v>4</v>
          </cell>
          <cell r="N1141">
            <v>1505.46</v>
          </cell>
        </row>
        <row r="1142">
          <cell r="E1142">
            <v>2</v>
          </cell>
          <cell r="F1142">
            <v>552.83000000000004</v>
          </cell>
          <cell r="K1142">
            <v>3</v>
          </cell>
          <cell r="N1142">
            <v>1105.6600000000001</v>
          </cell>
        </row>
        <row r="1143">
          <cell r="E1143">
            <v>3</v>
          </cell>
          <cell r="F1143">
            <v>498.66</v>
          </cell>
          <cell r="K1143">
            <v>6</v>
          </cell>
          <cell r="N1143">
            <v>1495.98</v>
          </cell>
        </row>
        <row r="1144">
          <cell r="E1144">
            <v>4</v>
          </cell>
          <cell r="F1144">
            <v>695.1</v>
          </cell>
          <cell r="K1144">
            <v>8</v>
          </cell>
          <cell r="N1144">
            <v>2780.4</v>
          </cell>
        </row>
        <row r="1145">
          <cell r="E1145">
            <v>1</v>
          </cell>
          <cell r="F1145">
            <v>381.61</v>
          </cell>
          <cell r="K1145">
            <v>5</v>
          </cell>
          <cell r="N1145">
            <v>381.61</v>
          </cell>
        </row>
        <row r="1146">
          <cell r="E1146">
            <v>5</v>
          </cell>
          <cell r="F1146">
            <v>507.94</v>
          </cell>
          <cell r="K1146">
            <v>9</v>
          </cell>
          <cell r="N1146">
            <v>2539.6999999999998</v>
          </cell>
        </row>
        <row r="1147">
          <cell r="E1147">
            <v>3</v>
          </cell>
          <cell r="F1147">
            <v>571.53</v>
          </cell>
          <cell r="K1147">
            <v>6</v>
          </cell>
          <cell r="N1147">
            <v>1714.59</v>
          </cell>
        </row>
        <row r="1148">
          <cell r="E1148">
            <v>5</v>
          </cell>
          <cell r="F1148">
            <v>421.44</v>
          </cell>
          <cell r="K1148">
            <v>5</v>
          </cell>
          <cell r="N1148">
            <v>2107.1999999999998</v>
          </cell>
        </row>
        <row r="1149">
          <cell r="E1149">
            <v>2</v>
          </cell>
          <cell r="F1149">
            <v>588.29999999999995</v>
          </cell>
          <cell r="K1149">
            <v>2</v>
          </cell>
          <cell r="N1149">
            <v>1176.5999999999999</v>
          </cell>
        </row>
        <row r="1150">
          <cell r="E1150">
            <v>1</v>
          </cell>
          <cell r="F1150">
            <v>355.15</v>
          </cell>
          <cell r="K1150">
            <v>2</v>
          </cell>
          <cell r="N1150">
            <v>355.15</v>
          </cell>
        </row>
        <row r="1151">
          <cell r="E1151">
            <v>2</v>
          </cell>
          <cell r="F1151">
            <v>695.29</v>
          </cell>
          <cell r="K1151">
            <v>6</v>
          </cell>
          <cell r="N1151">
            <v>1390.58</v>
          </cell>
        </row>
        <row r="1152">
          <cell r="E1152">
            <v>4</v>
          </cell>
          <cell r="F1152">
            <v>302.64999999999998</v>
          </cell>
          <cell r="K1152">
            <v>8</v>
          </cell>
          <cell r="N1152">
            <v>1210.5999999999999</v>
          </cell>
        </row>
        <row r="1153">
          <cell r="E1153">
            <v>2</v>
          </cell>
          <cell r="F1153">
            <v>608.04</v>
          </cell>
          <cell r="K1153">
            <v>4</v>
          </cell>
          <cell r="N1153">
            <v>1216.08</v>
          </cell>
        </row>
        <row r="1154">
          <cell r="E1154">
            <v>2</v>
          </cell>
          <cell r="F1154">
            <v>344.18</v>
          </cell>
          <cell r="K1154">
            <v>7</v>
          </cell>
          <cell r="N1154">
            <v>688.36</v>
          </cell>
        </row>
        <row r="1155">
          <cell r="E1155">
            <v>4</v>
          </cell>
          <cell r="F1155">
            <v>696.71</v>
          </cell>
          <cell r="K1155">
            <v>4</v>
          </cell>
          <cell r="N1155">
            <v>2786.84</v>
          </cell>
        </row>
        <row r="1156">
          <cell r="E1156">
            <v>3</v>
          </cell>
          <cell r="F1156">
            <v>198.63</v>
          </cell>
          <cell r="K1156">
            <v>8</v>
          </cell>
          <cell r="N1156">
            <v>595.89</v>
          </cell>
        </row>
        <row r="1157">
          <cell r="E1157">
            <v>4</v>
          </cell>
          <cell r="F1157">
            <v>534.57000000000005</v>
          </cell>
          <cell r="K1157">
            <v>6</v>
          </cell>
          <cell r="N1157">
            <v>2138.2800000000002</v>
          </cell>
        </row>
        <row r="1158">
          <cell r="E1158">
            <v>4</v>
          </cell>
          <cell r="F1158">
            <v>690.78</v>
          </cell>
          <cell r="K1158">
            <v>9</v>
          </cell>
          <cell r="N1158">
            <v>2763.12</v>
          </cell>
        </row>
        <row r="1159">
          <cell r="E1159">
            <v>3</v>
          </cell>
          <cell r="F1159">
            <v>301.55</v>
          </cell>
          <cell r="K1159">
            <v>5</v>
          </cell>
          <cell r="N1159">
            <v>904.65000000000009</v>
          </cell>
        </row>
        <row r="1160">
          <cell r="E1160">
            <v>4</v>
          </cell>
          <cell r="F1160">
            <v>27.42</v>
          </cell>
          <cell r="K1160">
            <v>4</v>
          </cell>
          <cell r="N1160">
            <v>109.68</v>
          </cell>
        </row>
        <row r="1161">
          <cell r="E1161">
            <v>4</v>
          </cell>
          <cell r="F1161">
            <v>466.7</v>
          </cell>
          <cell r="K1161">
            <v>8</v>
          </cell>
          <cell r="N1161">
            <v>1866.8</v>
          </cell>
        </row>
        <row r="1162">
          <cell r="E1162">
            <v>1</v>
          </cell>
          <cell r="F1162">
            <v>541.64</v>
          </cell>
          <cell r="K1162">
            <v>5</v>
          </cell>
          <cell r="N1162">
            <v>541.64</v>
          </cell>
        </row>
        <row r="1163">
          <cell r="E1163">
            <v>1</v>
          </cell>
          <cell r="F1163">
            <v>11.39</v>
          </cell>
          <cell r="K1163">
            <v>6</v>
          </cell>
          <cell r="N1163">
            <v>11.39</v>
          </cell>
        </row>
        <row r="1164">
          <cell r="E1164">
            <v>2</v>
          </cell>
          <cell r="F1164">
            <v>224.37</v>
          </cell>
          <cell r="K1164">
            <v>3</v>
          </cell>
          <cell r="N1164">
            <v>448.74</v>
          </cell>
        </row>
        <row r="1165">
          <cell r="E1165">
            <v>3</v>
          </cell>
          <cell r="F1165">
            <v>306.29000000000002</v>
          </cell>
          <cell r="K1165">
            <v>7</v>
          </cell>
          <cell r="N1165">
            <v>918.87000000000012</v>
          </cell>
        </row>
        <row r="1166">
          <cell r="E1166">
            <v>5</v>
          </cell>
          <cell r="F1166">
            <v>315.57</v>
          </cell>
          <cell r="K1166">
            <v>6</v>
          </cell>
          <cell r="N1166">
            <v>1577.85</v>
          </cell>
        </row>
        <row r="1167">
          <cell r="E1167">
            <v>3</v>
          </cell>
          <cell r="F1167">
            <v>223.79</v>
          </cell>
          <cell r="K1167">
            <v>3</v>
          </cell>
          <cell r="N1167">
            <v>671.37</v>
          </cell>
        </row>
        <row r="1168">
          <cell r="E1168">
            <v>3</v>
          </cell>
          <cell r="F1168">
            <v>324.47000000000003</v>
          </cell>
          <cell r="K1168">
            <v>4</v>
          </cell>
          <cell r="N1168">
            <v>973.41000000000008</v>
          </cell>
        </row>
        <row r="1169">
          <cell r="E1169">
            <v>2</v>
          </cell>
          <cell r="F1169">
            <v>92.87</v>
          </cell>
          <cell r="K1169">
            <v>5</v>
          </cell>
          <cell r="N1169">
            <v>185.74</v>
          </cell>
        </row>
        <row r="1170">
          <cell r="E1170">
            <v>2</v>
          </cell>
          <cell r="F1170">
            <v>331.42</v>
          </cell>
          <cell r="K1170">
            <v>6</v>
          </cell>
          <cell r="N1170">
            <v>662.84</v>
          </cell>
        </row>
        <row r="1171">
          <cell r="E1171">
            <v>1</v>
          </cell>
          <cell r="F1171">
            <v>525.42999999999995</v>
          </cell>
          <cell r="K1171">
            <v>2</v>
          </cell>
          <cell r="N1171">
            <v>525.42999999999995</v>
          </cell>
        </row>
        <row r="1172">
          <cell r="E1172">
            <v>2</v>
          </cell>
          <cell r="F1172">
            <v>697.19</v>
          </cell>
          <cell r="K1172">
            <v>7</v>
          </cell>
          <cell r="N1172">
            <v>1394.38</v>
          </cell>
        </row>
        <row r="1173">
          <cell r="E1173">
            <v>4</v>
          </cell>
          <cell r="F1173">
            <v>518.4</v>
          </cell>
          <cell r="K1173">
            <v>7</v>
          </cell>
          <cell r="N1173">
            <v>2073.6</v>
          </cell>
        </row>
        <row r="1174">
          <cell r="E1174">
            <v>3</v>
          </cell>
          <cell r="F1174">
            <v>131.96</v>
          </cell>
          <cell r="K1174">
            <v>8</v>
          </cell>
          <cell r="N1174">
            <v>395.88</v>
          </cell>
        </row>
        <row r="1175">
          <cell r="E1175">
            <v>1</v>
          </cell>
          <cell r="F1175">
            <v>208.36</v>
          </cell>
          <cell r="K1175">
            <v>4</v>
          </cell>
          <cell r="N1175">
            <v>208.36</v>
          </cell>
        </row>
        <row r="1176">
          <cell r="E1176">
            <v>3</v>
          </cell>
          <cell r="F1176">
            <v>222.34</v>
          </cell>
          <cell r="K1176">
            <v>5</v>
          </cell>
          <cell r="N1176">
            <v>667.02</v>
          </cell>
        </row>
        <row r="1177">
          <cell r="E1177">
            <v>3</v>
          </cell>
          <cell r="F1177">
            <v>91.74</v>
          </cell>
          <cell r="K1177">
            <v>8</v>
          </cell>
          <cell r="N1177">
            <v>275.22000000000003</v>
          </cell>
        </row>
        <row r="1178">
          <cell r="E1178">
            <v>2</v>
          </cell>
          <cell r="F1178">
            <v>213.83</v>
          </cell>
          <cell r="K1178">
            <v>2</v>
          </cell>
          <cell r="N1178">
            <v>427.66</v>
          </cell>
        </row>
        <row r="1179">
          <cell r="E1179">
            <v>1</v>
          </cell>
          <cell r="F1179">
            <v>127.55</v>
          </cell>
          <cell r="K1179">
            <v>3</v>
          </cell>
          <cell r="N1179">
            <v>127.55</v>
          </cell>
        </row>
        <row r="1180">
          <cell r="E1180">
            <v>1</v>
          </cell>
          <cell r="F1180">
            <v>70.239999999999995</v>
          </cell>
          <cell r="K1180">
            <v>4</v>
          </cell>
          <cell r="N1180">
            <v>70.239999999999995</v>
          </cell>
        </row>
        <row r="1181">
          <cell r="E1181">
            <v>5</v>
          </cell>
          <cell r="F1181">
            <v>518.54999999999995</v>
          </cell>
          <cell r="K1181">
            <v>6</v>
          </cell>
          <cell r="N1181">
            <v>2592.75</v>
          </cell>
        </row>
        <row r="1182">
          <cell r="E1182">
            <v>4</v>
          </cell>
          <cell r="F1182">
            <v>298.36</v>
          </cell>
          <cell r="K1182">
            <v>8</v>
          </cell>
          <cell r="N1182">
            <v>1193.44</v>
          </cell>
        </row>
        <row r="1183">
          <cell r="E1183">
            <v>3</v>
          </cell>
          <cell r="F1183">
            <v>158.74</v>
          </cell>
          <cell r="K1183">
            <v>7</v>
          </cell>
          <cell r="N1183">
            <v>476.22</v>
          </cell>
        </row>
        <row r="1184">
          <cell r="E1184">
            <v>2</v>
          </cell>
          <cell r="F1184">
            <v>420.29</v>
          </cell>
          <cell r="K1184">
            <v>3</v>
          </cell>
          <cell r="N1184">
            <v>840.58</v>
          </cell>
        </row>
        <row r="1185">
          <cell r="E1185">
            <v>1</v>
          </cell>
          <cell r="F1185">
            <v>281.52</v>
          </cell>
          <cell r="K1185">
            <v>6</v>
          </cell>
          <cell r="N1185">
            <v>281.52</v>
          </cell>
        </row>
        <row r="1186">
          <cell r="E1186">
            <v>1</v>
          </cell>
          <cell r="F1186">
            <v>204.08</v>
          </cell>
          <cell r="K1186">
            <v>4</v>
          </cell>
          <cell r="N1186">
            <v>204.08</v>
          </cell>
        </row>
        <row r="1187">
          <cell r="E1187">
            <v>1</v>
          </cell>
          <cell r="F1187">
            <v>343.31</v>
          </cell>
          <cell r="K1187">
            <v>6</v>
          </cell>
          <cell r="N1187">
            <v>343.31</v>
          </cell>
        </row>
        <row r="1188">
          <cell r="E1188">
            <v>1</v>
          </cell>
          <cell r="F1188">
            <v>163.32</v>
          </cell>
          <cell r="K1188">
            <v>6</v>
          </cell>
          <cell r="N1188">
            <v>163.32</v>
          </cell>
        </row>
        <row r="1189">
          <cell r="E1189">
            <v>2</v>
          </cell>
          <cell r="F1189">
            <v>184.6</v>
          </cell>
          <cell r="K1189">
            <v>7</v>
          </cell>
          <cell r="N1189">
            <v>369.2</v>
          </cell>
        </row>
        <row r="1190">
          <cell r="E1190">
            <v>2</v>
          </cell>
          <cell r="F1190">
            <v>371.29</v>
          </cell>
          <cell r="K1190">
            <v>5</v>
          </cell>
          <cell r="N1190">
            <v>742.58</v>
          </cell>
        </row>
        <row r="1191">
          <cell r="E1191">
            <v>5</v>
          </cell>
          <cell r="F1191">
            <v>389.22</v>
          </cell>
          <cell r="K1191">
            <v>7</v>
          </cell>
          <cell r="N1191">
            <v>1946.1</v>
          </cell>
        </row>
        <row r="1192">
          <cell r="E1192">
            <v>3</v>
          </cell>
          <cell r="F1192">
            <v>616.39</v>
          </cell>
          <cell r="K1192">
            <v>6</v>
          </cell>
          <cell r="N1192">
            <v>1849.17</v>
          </cell>
        </row>
        <row r="1193">
          <cell r="E1193">
            <v>4</v>
          </cell>
          <cell r="F1193">
            <v>376.43</v>
          </cell>
          <cell r="K1193">
            <v>5</v>
          </cell>
          <cell r="N1193">
            <v>1505.72</v>
          </cell>
        </row>
        <row r="1194">
          <cell r="E1194">
            <v>3</v>
          </cell>
          <cell r="F1194">
            <v>432.85</v>
          </cell>
          <cell r="K1194">
            <v>4</v>
          </cell>
          <cell r="N1194">
            <v>1298.55</v>
          </cell>
        </row>
        <row r="1195">
          <cell r="E1195">
            <v>1</v>
          </cell>
          <cell r="F1195">
            <v>687.89</v>
          </cell>
          <cell r="K1195">
            <v>1</v>
          </cell>
          <cell r="N1195">
            <v>687.89</v>
          </cell>
        </row>
        <row r="1196">
          <cell r="E1196">
            <v>3</v>
          </cell>
          <cell r="F1196">
            <v>189.44</v>
          </cell>
          <cell r="K1196">
            <v>4</v>
          </cell>
          <cell r="N1196">
            <v>568.31999999999994</v>
          </cell>
        </row>
        <row r="1197">
          <cell r="E1197">
            <v>1</v>
          </cell>
          <cell r="F1197">
            <v>107.04</v>
          </cell>
          <cell r="K1197">
            <v>6</v>
          </cell>
          <cell r="N1197">
            <v>107.04</v>
          </cell>
        </row>
        <row r="1198">
          <cell r="E1198">
            <v>2</v>
          </cell>
          <cell r="F1198">
            <v>662.53</v>
          </cell>
          <cell r="K1198">
            <v>5</v>
          </cell>
          <cell r="N1198">
            <v>1325.06</v>
          </cell>
        </row>
        <row r="1199">
          <cell r="E1199">
            <v>2</v>
          </cell>
          <cell r="F1199">
            <v>436.84</v>
          </cell>
          <cell r="K1199">
            <v>2</v>
          </cell>
          <cell r="N1199">
            <v>873.68</v>
          </cell>
        </row>
        <row r="1200">
          <cell r="E1200">
            <v>4</v>
          </cell>
          <cell r="F1200">
            <v>262.52</v>
          </cell>
          <cell r="K1200">
            <v>4</v>
          </cell>
          <cell r="N1200">
            <v>1050.08</v>
          </cell>
        </row>
        <row r="1201">
          <cell r="E1201">
            <v>4</v>
          </cell>
          <cell r="F1201">
            <v>560.58000000000004</v>
          </cell>
          <cell r="K1201">
            <v>6</v>
          </cell>
          <cell r="N1201">
            <v>2242.3200000000002</v>
          </cell>
        </row>
      </sheetData>
      <sheetData sheetId="6"/>
      <sheetData sheetId="7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har2n/Documents/DATASET%20CLEANING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r2n" refreshedDate="46220.8617900463" createdVersion="8" refreshedVersion="8" minRefreshableVersion="3" recordCount="1200" xr:uid="{528EFEB8-4688-4948-B9F1-E9CFDBEE2874}">
  <cacheSource type="worksheet">
    <worksheetSource name="Sheet1" r:id="rId2"/>
  </cacheSource>
  <cacheFields count="15">
    <cacheField name="OrderID" numFmtId="0">
      <sharedItems/>
    </cacheField>
    <cacheField name="Date" numFmtId="14">
      <sharedItems containsSemiMixedTypes="0" containsNonDate="0" containsDate="1" containsString="0" minDate="2023-01-01T00:00:00" maxDate="2025-07-01T00:00:00" count="671">
        <d v="2023-01-04T00:00:00"/>
        <d v="2024-08-23T00:00:00"/>
        <d v="2024-02-27T00:00:00"/>
        <d v="2023-10-15T00:00:00"/>
        <d v="2025-05-08T00:00:00"/>
        <d v="2023-10-23T00:00:00"/>
        <d v="2025-06-17T00:00:00"/>
        <d v="2023-05-12T00:00:00"/>
        <d v="2025-04-02T00:00:00"/>
        <d v="2023-11-21T00:00:00"/>
        <d v="2023-12-29T00:00:00"/>
        <d v="2024-02-17T00:00:00"/>
        <d v="2024-10-15T00:00:00"/>
        <d v="2023-08-30T00:00:00"/>
        <d v="2023-03-27T00:00:00"/>
        <d v="2023-07-17T00:00:00"/>
        <d v="2023-01-24T00:00:00"/>
        <d v="2024-03-02T00:00:00"/>
        <d v="2025-03-26T00:00:00"/>
        <d v="2023-01-23T00:00:00"/>
        <d v="2023-05-08T00:00:00"/>
        <d v="2024-11-17T00:00:00"/>
        <d v="2023-01-29T00:00:00"/>
        <d v="2025-04-09T00:00:00"/>
        <d v="2024-10-30T00:00:00"/>
        <d v="2024-07-24T00:00:00"/>
        <d v="2024-03-06T00:00:00"/>
        <d v="2024-02-22T00:00:00"/>
        <d v="2024-09-20T00:00:00"/>
        <d v="2025-03-22T00:00:00"/>
        <d v="2023-06-30T00:00:00"/>
        <d v="2023-05-01T00:00:00"/>
        <d v="2023-06-05T00:00:00"/>
        <d v="2023-01-07T00:00:00"/>
        <d v="2024-12-07T00:00:00"/>
        <d v="2024-10-14T00:00:00"/>
        <d v="2024-12-19T00:00:00"/>
        <d v="2025-02-27T00:00:00"/>
        <d v="2023-08-20T00:00:00"/>
        <d v="2023-12-05T00:00:00"/>
        <d v="2024-05-06T00:00:00"/>
        <d v="2023-12-14T00:00:00"/>
        <d v="2025-04-21T00:00:00"/>
        <d v="2024-02-10T00:00:00"/>
        <d v="2024-06-26T00:00:00"/>
        <d v="2023-07-19T00:00:00"/>
        <d v="2023-08-26T00:00:00"/>
        <d v="2023-10-07T00:00:00"/>
        <d v="2023-07-31T00:00:00"/>
        <d v="2024-12-30T00:00:00"/>
        <d v="2024-09-08T00:00:00"/>
        <d v="2024-05-18T00:00:00"/>
        <d v="2025-03-27T00:00:00"/>
        <d v="2025-06-24T00:00:00"/>
        <d v="2023-05-21T00:00:00"/>
        <d v="2023-01-22T00:00:00"/>
        <d v="2023-01-15T00:00:00"/>
        <d v="2024-09-11T00:00:00"/>
        <d v="2024-08-21T00:00:00"/>
        <d v="2024-03-24T00:00:00"/>
        <d v="2023-08-22T00:00:00"/>
        <d v="2025-02-02T00:00:00"/>
        <d v="2025-06-25T00:00:00"/>
        <d v="2023-12-30T00:00:00"/>
        <d v="2024-11-15T00:00:00"/>
        <d v="2024-12-09T00:00:00"/>
        <d v="2023-12-11T00:00:00"/>
        <d v="2023-05-11T00:00:00"/>
        <d v="2023-05-26T00:00:00"/>
        <d v="2025-06-10T00:00:00"/>
        <d v="2024-12-22T00:00:00"/>
        <d v="2023-05-03T00:00:00"/>
        <d v="2023-06-24T00:00:00"/>
        <d v="2023-09-26T00:00:00"/>
        <d v="2024-03-31T00:00:00"/>
        <d v="2024-05-24T00:00:00"/>
        <d v="2024-08-06T00:00:00"/>
        <d v="2025-03-10T00:00:00"/>
        <d v="2023-06-27T00:00:00"/>
        <d v="2023-06-08T00:00:00"/>
        <d v="2024-01-05T00:00:00"/>
        <d v="2023-08-28T00:00:00"/>
        <d v="2024-09-09T00:00:00"/>
        <d v="2024-06-19T00:00:00"/>
        <d v="2024-10-10T00:00:00"/>
        <d v="2025-06-05T00:00:00"/>
        <d v="2025-02-25T00:00:00"/>
        <d v="2023-09-18T00:00:00"/>
        <d v="2023-03-15T00:00:00"/>
        <d v="2024-06-10T00:00:00"/>
        <d v="2023-01-14T00:00:00"/>
        <d v="2023-02-11T00:00:00"/>
        <d v="2023-03-24T00:00:00"/>
        <d v="2024-06-01T00:00:00"/>
        <d v="2025-01-21T00:00:00"/>
        <d v="2025-04-12T00:00:00"/>
        <d v="2023-02-17T00:00:00"/>
        <d v="2023-11-25T00:00:00"/>
        <d v="2023-03-08T00:00:00"/>
        <d v="2025-01-25T00:00:00"/>
        <d v="2024-07-30T00:00:00"/>
        <d v="2024-10-24T00:00:00"/>
        <d v="2023-09-08T00:00:00"/>
        <d v="2024-12-28T00:00:00"/>
        <d v="2023-09-17T00:00:00"/>
        <d v="2024-04-21T00:00:00"/>
        <d v="2025-05-07T00:00:00"/>
        <d v="2023-01-01T00:00:00"/>
        <d v="2024-01-17T00:00:00"/>
        <d v="2025-01-27T00:00:00"/>
        <d v="2023-11-27T00:00:00"/>
        <d v="2023-03-19T00:00:00"/>
        <d v="2023-10-09T00:00:00"/>
        <d v="2025-06-11T00:00:00"/>
        <d v="2023-04-11T00:00:00"/>
        <d v="2023-11-30T00:00:00"/>
        <d v="2024-04-15T00:00:00"/>
        <d v="2023-07-06T00:00:00"/>
        <d v="2024-07-28T00:00:00"/>
        <d v="2024-11-06T00:00:00"/>
        <d v="2025-05-03T00:00:00"/>
        <d v="2023-08-10T00:00:00"/>
        <d v="2023-10-27T00:00:00"/>
        <d v="2025-01-22T00:00:00"/>
        <d v="2023-01-08T00:00:00"/>
        <d v="2023-03-28T00:00:00"/>
        <d v="2025-06-20T00:00:00"/>
        <d v="2025-06-23T00:00:00"/>
        <d v="2023-08-04T00:00:00"/>
        <d v="2024-04-27T00:00:00"/>
        <d v="2024-11-26T00:00:00"/>
        <d v="2023-12-21T00:00:00"/>
        <d v="2023-04-10T00:00:00"/>
        <d v="2025-05-31T00:00:00"/>
        <d v="2023-11-18T00:00:00"/>
        <d v="2023-09-06T00:00:00"/>
        <d v="2024-06-13T00:00:00"/>
        <d v="2025-04-30T00:00:00"/>
        <d v="2025-05-06T00:00:00"/>
        <d v="2024-12-15T00:00:00"/>
        <d v="2023-12-27T00:00:00"/>
        <d v="2023-12-13T00:00:00"/>
        <d v="2023-12-01T00:00:00"/>
        <d v="2025-01-02T00:00:00"/>
        <d v="2024-12-18T00:00:00"/>
        <d v="2023-07-20T00:00:00"/>
        <d v="2023-02-27T00:00:00"/>
        <d v="2024-11-08T00:00:00"/>
        <d v="2025-02-21T00:00:00"/>
        <d v="2024-05-16T00:00:00"/>
        <d v="2023-10-31T00:00:00"/>
        <d v="2024-03-29T00:00:00"/>
        <d v="2023-07-27T00:00:00"/>
        <d v="2023-12-28T00:00:00"/>
        <d v="2024-09-14T00:00:00"/>
        <d v="2025-03-04T00:00:00"/>
        <d v="2023-05-27T00:00:00"/>
        <d v="2025-01-04T00:00:00"/>
        <d v="2024-04-07T00:00:00"/>
        <d v="2025-04-04T00:00:00"/>
        <d v="2023-08-15T00:00:00"/>
        <d v="2025-04-06T00:00:00"/>
        <d v="2024-04-16T00:00:00"/>
        <d v="2025-02-08T00:00:00"/>
        <d v="2025-06-28T00:00:00"/>
        <d v="2023-08-05T00:00:00"/>
        <d v="2024-04-11T00:00:00"/>
        <d v="2024-11-24T00:00:00"/>
        <d v="2023-03-18T00:00:00"/>
        <d v="2024-08-31T00:00:00"/>
        <d v="2025-03-19T00:00:00"/>
        <d v="2024-04-18T00:00:00"/>
        <d v="2024-04-04T00:00:00"/>
        <d v="2023-12-07T00:00:00"/>
        <d v="2023-02-08T00:00:00"/>
        <d v="2025-03-15T00:00:00"/>
        <d v="2023-07-05T00:00:00"/>
        <d v="2025-03-08T00:00:00"/>
        <d v="2023-08-11T00:00:00"/>
        <d v="2023-07-21T00:00:00"/>
        <d v="2024-06-08T00:00:00"/>
        <d v="2024-04-22T00:00:00"/>
        <d v="2025-01-24T00:00:00"/>
        <d v="2023-08-27T00:00:00"/>
        <d v="2024-06-11T00:00:00"/>
        <d v="2025-01-23T00:00:00"/>
        <d v="2025-06-07T00:00:00"/>
        <d v="2023-06-18T00:00:00"/>
        <d v="2025-02-06T00:00:00"/>
        <d v="2023-09-05T00:00:00"/>
        <d v="2023-03-04T00:00:00"/>
        <d v="2025-03-18T00:00:00"/>
        <d v="2024-10-08T00:00:00"/>
        <d v="2023-08-29T00:00:00"/>
        <d v="2024-12-05T00:00:00"/>
        <d v="2025-01-03T00:00:00"/>
        <d v="2023-06-20T00:00:00"/>
        <d v="2023-04-20T00:00:00"/>
        <d v="2025-04-15T00:00:00"/>
        <d v="2024-05-20T00:00:00"/>
        <d v="2023-04-28T00:00:00"/>
        <d v="2025-05-02T00:00:00"/>
        <d v="2023-07-18T00:00:00"/>
        <d v="2024-02-23T00:00:00"/>
        <d v="2023-05-04T00:00:00"/>
        <d v="2023-09-23T00:00:00"/>
        <d v="2024-03-13T00:00:00"/>
        <d v="2025-06-27T00:00:00"/>
        <d v="2023-11-02T00:00:00"/>
        <d v="2023-05-17T00:00:00"/>
        <d v="2025-03-28T00:00:00"/>
        <d v="2023-12-16T00:00:00"/>
        <d v="2023-11-05T00:00:00"/>
        <d v="2023-05-19T00:00:00"/>
        <d v="2024-08-24T00:00:00"/>
        <d v="2023-02-20T00:00:00"/>
        <d v="2024-03-14T00:00:00"/>
        <d v="2024-12-13T00:00:00"/>
        <d v="2024-12-11T00:00:00"/>
        <d v="2023-07-12T00:00:00"/>
        <d v="2023-05-16T00:00:00"/>
        <d v="2023-05-09T00:00:00"/>
        <d v="2025-05-09T00:00:00"/>
        <d v="2023-02-16T00:00:00"/>
        <d v="2025-04-20T00:00:00"/>
        <d v="2024-08-30T00:00:00"/>
        <d v="2023-07-02T00:00:00"/>
        <d v="2024-02-07T00:00:00"/>
        <d v="2023-04-05T00:00:00"/>
        <d v="2025-05-15T00:00:00"/>
        <d v="2024-03-23T00:00:00"/>
        <d v="2023-12-26T00:00:00"/>
        <d v="2024-05-13T00:00:00"/>
        <d v="2025-06-30T00:00:00"/>
        <d v="2024-04-23T00:00:00"/>
        <d v="2024-02-26T00:00:00"/>
        <d v="2023-06-11T00:00:00"/>
        <d v="2025-05-28T00:00:00"/>
        <d v="2023-01-10T00:00:00"/>
        <d v="2023-03-25T00:00:00"/>
        <d v="2024-08-03T00:00:00"/>
        <d v="2023-12-22T00:00:00"/>
        <d v="2025-04-17T00:00:00"/>
        <d v="2023-06-04T00:00:00"/>
        <d v="2023-09-19T00:00:00"/>
        <d v="2024-10-27T00:00:00"/>
        <d v="2023-02-04T00:00:00"/>
        <d v="2023-11-04T00:00:00"/>
        <d v="2025-03-29T00:00:00"/>
        <d v="2024-11-18T00:00:00"/>
        <d v="2023-10-20T00:00:00"/>
        <d v="2025-04-22T00:00:00"/>
        <d v="2025-02-28T00:00:00"/>
        <d v="2025-04-07T00:00:00"/>
        <d v="2023-11-24T00:00:00"/>
        <d v="2023-03-12T00:00:00"/>
        <d v="2023-07-26T00:00:00"/>
        <d v="2023-05-05T00:00:00"/>
        <d v="2024-05-12T00:00:00"/>
        <d v="2025-01-15T00:00:00"/>
        <d v="2025-04-01T00:00:00"/>
        <d v="2023-01-25T00:00:00"/>
        <d v="2023-02-22T00:00:00"/>
        <d v="2023-12-19T00:00:00"/>
        <d v="2024-01-20T00:00:00"/>
        <d v="2024-09-02T00:00:00"/>
        <d v="2024-10-18T00:00:00"/>
        <d v="2024-06-07T00:00:00"/>
        <d v="2023-07-01T00:00:00"/>
        <d v="2023-10-03T00:00:00"/>
        <d v="2024-02-24T00:00:00"/>
        <d v="2025-05-17T00:00:00"/>
        <d v="2025-05-24T00:00:00"/>
        <d v="2023-07-09T00:00:00"/>
        <d v="2023-10-04T00:00:00"/>
        <d v="2025-05-12T00:00:00"/>
        <d v="2023-10-02T00:00:00"/>
        <d v="2024-07-27T00:00:00"/>
        <d v="2023-12-02T00:00:00"/>
        <d v="2023-08-09T00:00:00"/>
        <d v="2024-06-14T00:00:00"/>
        <d v="2025-01-26T00:00:00"/>
        <d v="2023-06-29T00:00:00"/>
        <d v="2024-07-01T00:00:00"/>
        <d v="2023-07-25T00:00:00"/>
        <d v="2023-02-28T00:00:00"/>
        <d v="2024-12-25T00:00:00"/>
        <d v="2024-06-02T00:00:00"/>
        <d v="2023-04-15T00:00:00"/>
        <d v="2024-07-03T00:00:00"/>
        <d v="2024-03-26T00:00:00"/>
        <d v="2025-03-03T00:00:00"/>
        <d v="2023-05-29T00:00:00"/>
        <d v="2023-11-08T00:00:00"/>
        <d v="2024-04-10T00:00:00"/>
        <d v="2023-04-23T00:00:00"/>
        <d v="2024-09-23T00:00:00"/>
        <d v="2023-02-26T00:00:00"/>
        <d v="2025-03-06T00:00:00"/>
        <d v="2024-12-06T00:00:00"/>
        <d v="2024-02-03T00:00:00"/>
        <d v="2023-06-03T00:00:00"/>
        <d v="2025-02-15T00:00:00"/>
        <d v="2023-08-31T00:00:00"/>
        <d v="2023-07-11T00:00:00"/>
        <d v="2025-06-03T00:00:00"/>
        <d v="2023-05-06T00:00:00"/>
        <d v="2023-07-08T00:00:00"/>
        <d v="2023-06-09T00:00:00"/>
        <d v="2024-06-06T00:00:00"/>
        <d v="2024-06-29T00:00:00"/>
        <d v="2025-02-14T00:00:00"/>
        <d v="2023-02-10T00:00:00"/>
        <d v="2024-04-25T00:00:00"/>
        <d v="2023-01-05T00:00:00"/>
        <d v="2023-01-02T00:00:00"/>
        <d v="2024-09-16T00:00:00"/>
        <d v="2025-01-16T00:00:00"/>
        <d v="2023-08-24T00:00:00"/>
        <d v="2024-07-22T00:00:00"/>
        <d v="2024-02-01T00:00:00"/>
        <d v="2024-09-21T00:00:00"/>
        <d v="2024-04-20T00:00:00"/>
        <d v="2023-06-07T00:00:00"/>
        <d v="2025-01-30T00:00:00"/>
        <d v="2023-01-20T00:00:00"/>
        <d v="2024-06-27T00:00:00"/>
        <d v="2023-12-17T00:00:00"/>
        <d v="2023-07-14T00:00:00"/>
        <d v="2024-02-28T00:00:00"/>
        <d v="2024-07-14T00:00:00"/>
        <d v="2025-04-25T00:00:00"/>
        <d v="2023-09-28T00:00:00"/>
        <d v="2024-09-04T00:00:00"/>
        <d v="2024-01-07T00:00:00"/>
        <d v="2024-09-28T00:00:00"/>
        <d v="2023-04-09T00:00:00"/>
        <d v="2024-11-10T00:00:00"/>
        <d v="2023-03-09T00:00:00"/>
        <d v="2023-12-10T00:00:00"/>
        <d v="2023-08-13T00:00:00"/>
        <d v="2025-01-01T00:00:00"/>
        <d v="2023-06-28T00:00:00"/>
        <d v="2024-01-18T00:00:00"/>
        <d v="2025-04-11T00:00:00"/>
        <d v="2023-10-08T00:00:00"/>
        <d v="2025-05-04T00:00:00"/>
        <d v="2023-10-24T00:00:00"/>
        <d v="2023-01-11T00:00:00"/>
        <d v="2024-04-17T00:00:00"/>
        <d v="2024-11-29T00:00:00"/>
        <d v="2024-07-20T00:00:00"/>
        <d v="2023-04-12T00:00:00"/>
        <d v="2025-03-16T00:00:00"/>
        <d v="2024-10-06T00:00:00"/>
        <d v="2023-09-04T00:00:00"/>
        <d v="2023-10-22T00:00:00"/>
        <d v="2024-11-05T00:00:00"/>
        <d v="2024-05-14T00:00:00"/>
        <d v="2023-10-18T00:00:00"/>
        <d v="2024-08-26T00:00:00"/>
        <d v="2024-01-15T00:00:00"/>
        <d v="2023-04-01T00:00:00"/>
        <d v="2023-07-23T00:00:00"/>
        <d v="2024-11-27T00:00:00"/>
        <d v="2023-06-26T00:00:00"/>
        <d v="2025-05-25T00:00:00"/>
        <d v="2024-07-02T00:00:00"/>
        <d v="2025-03-31T00:00:00"/>
        <d v="2023-03-14T00:00:00"/>
        <d v="2025-06-21T00:00:00"/>
        <d v="2023-11-26T00:00:00"/>
        <d v="2023-09-29T00:00:00"/>
        <d v="2025-04-19T00:00:00"/>
        <d v="2023-01-06T00:00:00"/>
        <d v="2023-11-15T00:00:00"/>
        <d v="2025-03-05T00:00:00"/>
        <d v="2024-11-01T00:00:00"/>
        <d v="2023-02-18T00:00:00"/>
        <d v="2023-06-16T00:00:00"/>
        <d v="2025-03-02T00:00:00"/>
        <d v="2023-01-18T00:00:00"/>
        <d v="2024-05-29T00:00:00"/>
        <d v="2023-08-01T00:00:00"/>
        <d v="2023-02-03T00:00:00"/>
        <d v="2023-10-25T00:00:00"/>
        <d v="2025-01-28T00:00:00"/>
        <d v="2025-03-14T00:00:00"/>
        <d v="2023-04-06T00:00:00"/>
        <d v="2024-02-04T00:00:00"/>
        <d v="2023-05-20T00:00:00"/>
        <d v="2025-05-14T00:00:00"/>
        <d v="2023-02-15T00:00:00"/>
        <d v="2024-12-16T00:00:00"/>
        <d v="2024-03-15T00:00:00"/>
        <d v="2024-09-27T00:00:00"/>
        <d v="2025-02-09T00:00:00"/>
        <d v="2023-04-16T00:00:00"/>
        <d v="2024-04-09T00:00:00"/>
        <d v="2025-06-13T00:00:00"/>
        <d v="2025-05-10T00:00:00"/>
        <d v="2023-03-10T00:00:00"/>
        <d v="2024-02-25T00:00:00"/>
        <d v="2025-02-18T00:00:00"/>
        <d v="2023-12-03T00:00:00"/>
        <d v="2024-02-29T00:00:00"/>
        <d v="2024-08-19T00:00:00"/>
        <d v="2025-02-26T00:00:00"/>
        <d v="2024-07-18T00:00:00"/>
        <d v="2023-03-05T00:00:00"/>
        <d v="2024-06-09T00:00:00"/>
        <d v="2025-03-23T00:00:00"/>
        <d v="2024-01-29T00:00:00"/>
        <d v="2023-08-07T00:00:00"/>
        <d v="2023-11-14T00:00:00"/>
        <d v="2024-03-09T00:00:00"/>
        <d v="2024-03-10T00:00:00"/>
        <d v="2024-03-01T00:00:00"/>
        <d v="2023-10-29T00:00:00"/>
        <d v="2023-05-18T00:00:00"/>
        <d v="2023-09-30T00:00:00"/>
        <d v="2023-08-23T00:00:00"/>
        <d v="2025-05-30T00:00:00"/>
        <d v="2023-01-28T00:00:00"/>
        <d v="2024-07-16T00:00:00"/>
        <d v="2023-01-31T00:00:00"/>
        <d v="2023-10-06T00:00:00"/>
        <d v="2023-12-12T00:00:00"/>
        <d v="2025-04-08T00:00:00"/>
        <d v="2023-05-14T00:00:00"/>
        <d v="2024-09-30T00:00:00"/>
        <d v="2024-12-27T00:00:00"/>
        <d v="2024-11-23T00:00:00"/>
        <d v="2023-11-11T00:00:00"/>
        <d v="2024-01-24T00:00:00"/>
        <d v="2024-11-11T00:00:00"/>
        <d v="2024-02-19T00:00:00"/>
        <d v="2025-06-15T00:00:00"/>
        <d v="2025-03-21T00:00:00"/>
        <d v="2023-06-12T00:00:00"/>
        <d v="2024-12-10T00:00:00"/>
        <d v="2025-02-10T00:00:00"/>
        <d v="2023-09-10T00:00:00"/>
        <d v="2023-08-02T00:00:00"/>
        <d v="2024-02-21T00:00:00"/>
        <d v="2025-01-10T00:00:00"/>
        <d v="2024-11-25T00:00:00"/>
        <d v="2024-04-26T00:00:00"/>
        <d v="2024-03-05T00:00:00"/>
        <d v="2024-10-04T00:00:00"/>
        <d v="2025-06-22T00:00:00"/>
        <d v="2024-05-10T00:00:00"/>
        <d v="2024-06-16T00:00:00"/>
        <d v="2023-04-21T00:00:00"/>
        <d v="2023-06-02T00:00:00"/>
        <d v="2024-03-08T00:00:00"/>
        <d v="2025-03-07T00:00:00"/>
        <d v="2024-10-17T00:00:00"/>
        <d v="2024-02-08T00:00:00"/>
        <d v="2024-09-03T00:00:00"/>
        <d v="2024-03-27T00:00:00"/>
        <d v="2024-11-02T00:00:00"/>
        <d v="2024-01-16T00:00:00"/>
        <d v="2023-09-24T00:00:00"/>
        <d v="2023-08-06T00:00:00"/>
        <d v="2023-03-26T00:00:00"/>
        <d v="2023-07-07T00:00:00"/>
        <d v="2023-06-23T00:00:00"/>
        <d v="2023-05-02T00:00:00"/>
        <d v="2023-10-05T00:00:00"/>
        <d v="2024-09-29T00:00:00"/>
        <d v="2024-06-30T00:00:00"/>
        <d v="2024-04-29T00:00:00"/>
        <d v="2025-04-24T00:00:00"/>
        <d v="2025-01-18T00:00:00"/>
        <d v="2023-12-23T00:00:00"/>
        <d v="2024-11-12T00:00:00"/>
        <d v="2024-06-05T00:00:00"/>
        <d v="2023-12-24T00:00:00"/>
        <d v="2025-04-18T00:00:00"/>
        <d v="2024-10-26T00:00:00"/>
        <d v="2024-10-19T00:00:00"/>
        <d v="2024-07-05T00:00:00"/>
        <d v="2023-02-05T00:00:00"/>
        <d v="2023-06-15T00:00:00"/>
        <d v="2023-02-21T00:00:00"/>
        <d v="2024-01-09T00:00:00"/>
        <d v="2025-04-03T00:00:00"/>
        <d v="2023-02-02T00:00:00"/>
        <d v="2024-01-30T00:00:00"/>
        <d v="2025-05-18T00:00:00"/>
        <d v="2024-09-22T00:00:00"/>
        <d v="2025-02-07T00:00:00"/>
        <d v="2023-09-13T00:00:00"/>
        <d v="2024-07-12T00:00:00"/>
        <d v="2025-03-12T00:00:00"/>
        <d v="2025-02-04T00:00:00"/>
        <d v="2023-11-13T00:00:00"/>
        <d v="2024-09-25T00:00:00"/>
        <d v="2024-06-23T00:00:00"/>
        <d v="2023-03-22T00:00:00"/>
        <d v="2025-03-30T00:00:00"/>
        <d v="2024-07-04T00:00:00"/>
        <d v="2024-07-26T00:00:00"/>
        <d v="2023-10-16T00:00:00"/>
        <d v="2023-04-08T00:00:00"/>
        <d v="2024-01-21T00:00:00"/>
        <d v="2023-09-21T00:00:00"/>
        <d v="2024-03-18T00:00:00"/>
        <d v="2023-12-09T00:00:00"/>
        <d v="2024-10-25T00:00:00"/>
        <d v="2024-07-29T00:00:00"/>
        <d v="2025-02-22T00:00:00"/>
        <d v="2023-12-04T00:00:00"/>
        <d v="2024-01-23T00:00:00"/>
        <d v="2024-06-28T00:00:00"/>
        <d v="2024-02-09T00:00:00"/>
        <d v="2024-01-03T00:00:00"/>
        <d v="2025-06-04T00:00:00"/>
        <d v="2024-11-30T00:00:00"/>
        <d v="2024-06-12T00:00:00"/>
        <d v="2023-03-02T00:00:00"/>
        <d v="2025-02-24T00:00:00"/>
        <d v="2024-07-15T00:00:00"/>
        <d v="2025-04-13T00:00:00"/>
        <d v="2024-10-03T00:00:00"/>
        <d v="2024-04-24T00:00:00"/>
        <d v="2023-06-13T00:00:00"/>
        <d v="2023-07-24T00:00:00"/>
        <d v="2024-09-17T00:00:00"/>
        <d v="2024-02-11T00:00:00"/>
        <d v="2023-08-21T00:00:00"/>
        <d v="2024-01-10T00:00:00"/>
        <d v="2024-08-11T00:00:00"/>
        <d v="2025-05-26T00:00:00"/>
        <d v="2025-05-16T00:00:00"/>
        <d v="2023-07-29T00:00:00"/>
        <d v="2024-03-17T00:00:00"/>
        <d v="2023-08-17T00:00:00"/>
        <d v="2024-01-13T00:00:00"/>
        <d v="2024-11-20T00:00:00"/>
        <d v="2025-04-29T00:00:00"/>
        <d v="2025-05-19T00:00:00"/>
        <d v="2024-01-01T00:00:00"/>
        <d v="2023-09-01T00:00:00"/>
        <d v="2024-02-13T00:00:00"/>
        <d v="2023-05-31T00:00:00"/>
        <d v="2024-01-26T00:00:00"/>
        <d v="2024-08-04T00:00:00"/>
        <d v="2024-12-14T00:00:00"/>
        <d v="2024-10-07T00:00:00"/>
        <d v="2023-05-25T00:00:00"/>
        <d v="2023-12-18T00:00:00"/>
        <d v="2024-03-12T00:00:00"/>
        <d v="2025-06-14T00:00:00"/>
        <d v="2024-01-14T00:00:00"/>
        <d v="2024-09-19T00:00:00"/>
        <d v="2025-05-13T00:00:00"/>
        <d v="2024-12-04T00:00:00"/>
        <d v="2025-06-09T00:00:00"/>
        <d v="2025-04-27T00:00:00"/>
        <d v="2024-06-03T00:00:00"/>
        <d v="2024-08-28T00:00:00"/>
        <d v="2023-04-30T00:00:00"/>
        <d v="2024-05-26T00:00:00"/>
        <d v="2025-06-01T00:00:00"/>
        <d v="2023-07-10T00:00:00"/>
        <d v="2023-08-03T00:00:00"/>
        <d v="2024-07-25T00:00:00"/>
        <d v="2023-06-01T00:00:00"/>
        <d v="2023-01-03T00:00:00"/>
        <d v="2024-05-15T00:00:00"/>
        <d v="2024-07-23T00:00:00"/>
        <d v="2024-06-04T00:00:00"/>
        <d v="2023-03-21T00:00:00"/>
        <d v="2023-05-23T00:00:00"/>
        <d v="2023-11-09T00:00:00"/>
        <d v="2025-04-23T00:00:00"/>
        <d v="2024-04-28T00:00:00"/>
        <d v="2024-07-13T00:00:00"/>
        <d v="2025-02-05T00:00:00"/>
        <d v="2023-11-23T00:00:00"/>
        <d v="2024-05-27T00:00:00"/>
        <d v="2024-05-31T00:00:00"/>
        <d v="2024-08-13T00:00:00"/>
        <d v="2024-01-22T00:00:00"/>
        <d v="2024-02-16T00:00:00"/>
        <d v="2024-06-21T00:00:00"/>
        <d v="2025-01-20T00:00:00"/>
        <d v="2024-06-17T00:00:00"/>
        <d v="2024-12-20T00:00:00"/>
        <d v="2024-03-20T00:00:00"/>
        <d v="2023-02-14T00:00:00"/>
        <d v="2024-05-09T00:00:00"/>
        <d v="2024-10-16T00:00:00"/>
        <d v="2023-01-26T00:00:00"/>
        <d v="2024-01-12T00:00:00"/>
        <d v="2025-04-16T00:00:00"/>
        <d v="2024-05-04T00:00:00"/>
        <d v="2023-09-07T00:00:00"/>
        <d v="2023-02-06T00:00:00"/>
        <d v="2024-10-22T00:00:00"/>
        <d v="2023-01-12T00:00:00"/>
        <d v="2023-05-13T00:00:00"/>
        <d v="2024-04-13T00:00:00"/>
        <d v="2024-09-06T00:00:00"/>
        <d v="2024-03-11T00:00:00"/>
        <d v="2025-06-18T00:00:00"/>
        <d v="2025-05-20T00:00:00"/>
        <d v="2024-09-07T00:00:00"/>
        <d v="2023-09-27T00:00:00"/>
        <d v="2024-06-25T00:00:00"/>
        <d v="2023-10-14T00:00:00"/>
        <d v="2023-03-23T00:00:00"/>
        <d v="2023-11-19T00:00:00"/>
        <d v="2024-08-27T00:00:00"/>
        <d v="2024-04-06T00:00:00"/>
        <d v="2023-06-21T00:00:00"/>
        <d v="2023-12-08T00:00:00"/>
        <d v="2025-06-19T00:00:00"/>
        <d v="2023-01-13T00:00:00"/>
        <d v="2023-09-02T00:00:00"/>
        <d v="2023-03-31T00:00:00"/>
        <d v="2024-12-03T00:00:00"/>
        <d v="2025-04-26T00:00:00"/>
        <d v="2024-08-25T00:00:00"/>
        <d v="2024-05-21T00:00:00"/>
        <d v="2025-03-01T00:00:00"/>
        <d v="2024-12-24T00:00:00"/>
        <d v="2023-11-12T00:00:00"/>
        <d v="2025-01-11T00:00:00"/>
        <d v="2023-09-11T00:00:00"/>
        <d v="2024-09-15T00:00:00"/>
        <d v="2023-11-29T00:00:00"/>
        <d v="2024-09-24T00:00:00"/>
        <d v="2024-05-07T00:00:00"/>
        <d v="2025-01-29T00:00:00"/>
        <d v="2025-02-12T00:00:00"/>
        <d v="2023-10-30T00:00:00"/>
        <d v="2023-12-20T00:00:00"/>
        <d v="2023-06-06T00:00:00"/>
        <d v="2023-02-25T00:00:00"/>
        <d v="2024-10-11T00:00:00"/>
        <d v="2024-06-20T00:00:00"/>
        <d v="2024-07-09T00:00:00"/>
        <d v="2024-12-26T00:00:00"/>
        <d v="2023-06-17T00:00:00"/>
        <d v="2025-06-08T00:00:00"/>
        <d v="2023-04-24T00:00:00"/>
        <d v="2024-01-08T00:00:00"/>
        <d v="2023-03-20T00:00:00"/>
        <d v="2024-04-08T00:00:00"/>
        <d v="2023-10-13T00:00:00"/>
        <d v="2023-03-16T00:00:00"/>
        <d v="2023-05-28T00:00:00"/>
        <d v="2023-04-14T00:00:00"/>
        <d v="2025-02-16T00:00:00"/>
        <d v="2024-12-02T00:00:00"/>
        <d v="2024-06-24T00:00:00"/>
        <d v="2023-04-03T00:00:00"/>
        <d v="2025-03-11T00:00:00"/>
        <d v="2023-10-17T00:00:00"/>
        <d v="2024-12-23T00:00:00"/>
        <d v="2024-09-10T00:00:00"/>
        <d v="2023-04-27T00:00:00"/>
        <d v="2024-07-08T00:00:00"/>
        <d v="2024-08-17T00:00:00"/>
        <d v="2025-06-16T00:00:00"/>
        <d v="2024-03-04T00:00:00"/>
        <d v="2023-07-13T00:00:00"/>
        <d v="2024-08-22T00:00:00"/>
      </sharedItems>
      <fieldGroup par="14"/>
    </cacheField>
    <cacheField name="CustomerID" numFmtId="0">
      <sharedItems/>
    </cacheField>
    <cacheField name="Product" numFmtId="0">
      <sharedItems count="7">
        <s v="Monitor"/>
        <s v="Phone"/>
        <s v="Tablet"/>
        <s v="Chair"/>
        <s v="Printer"/>
        <s v="Laptop"/>
        <s v="Desk"/>
      </sharedItems>
    </cacheField>
    <cacheField name="Quantity" numFmtId="0">
      <sharedItems containsSemiMixedTypes="0" containsString="0" containsNumber="1" containsInteger="1" minValue="1" maxValue="5"/>
    </cacheField>
    <cacheField name="UnitPrice" numFmtId="0">
      <sharedItems containsSemiMixedTypes="0" containsString="0" containsNumber="1" minValue="11.39" maxValue="699.93"/>
    </cacheField>
    <cacheField name="ShippingAddress" numFmtId="0">
      <sharedItems/>
    </cacheField>
    <cacheField name="PaymentMethod" numFmtId="0">
      <sharedItems count="5">
        <s v="Debit Card"/>
        <s v="Online"/>
        <s v="Credit Card"/>
        <s v="Gift Card"/>
        <s v="Cash"/>
      </sharedItems>
    </cacheField>
    <cacheField name="OrderStatus" numFmtId="0">
      <sharedItems count="5">
        <s v="Shipped"/>
        <s v="Cancelled"/>
        <s v="Returned"/>
        <s v="Delivered"/>
        <s v="Pending"/>
      </sharedItems>
    </cacheField>
    <cacheField name="TrackingNumber" numFmtId="0">
      <sharedItems/>
    </cacheField>
    <cacheField name="ItemsInCart" numFmtId="0">
      <sharedItems containsSemiMixedTypes="0" containsString="0" containsNumber="1" containsInteger="1" minValue="1" maxValue="10"/>
    </cacheField>
    <cacheField name="CouponCode" numFmtId="0">
      <sharedItems/>
    </cacheField>
    <cacheField name="ReferralSource" numFmtId="0">
      <sharedItems count="5">
        <s v="Instagram"/>
        <s v="Referral"/>
        <s v="Email"/>
        <s v="Facebook"/>
        <s v="Google"/>
      </sharedItems>
    </cacheField>
    <cacheField name="TotalPrice" numFmtId="0">
      <sharedItems containsSemiMixedTypes="0" containsString="0" containsNumber="1" minValue="11.39" maxValue="3456.4" count="1195">
        <n v="2853.1"/>
        <n v="302.7"/>
        <n v="2753.4"/>
        <n v="273.19"/>
        <n v="2504.04"/>
        <n v="491.72"/>
        <n v="664.42"/>
        <n v="747.75"/>
        <n v="268.56"/>
        <n v="2037.52"/>
        <n v="3129.85"/>
        <n v="147.41999999999999"/>
        <n v="361"/>
        <n v="604.47"/>
        <n v="786.66"/>
        <n v="473.96"/>
        <n v="1067.6199999999999"/>
        <n v="423.4"/>
        <n v="431.44"/>
        <n v="1120"/>
        <n v="312.55"/>
        <n v="1371.8"/>
        <n v="99.24"/>
        <n v="1093"/>
        <n v="461.9"/>
        <n v="399.98"/>
        <n v="297.75"/>
        <n v="472.74"/>
        <n v="640.28"/>
        <n v="1270.5899999999999"/>
        <n v="853.4"/>
        <n v="1500.24"/>
        <n v="2683.6"/>
        <n v="162.77000000000001"/>
        <n v="2306.08"/>
        <n v="930.3"/>
        <n v="1068.8599999999999"/>
        <n v="153.47999999999999"/>
        <n v="245.89"/>
        <n v="769.37999999999988"/>
        <n v="688.04"/>
        <n v="1834.35"/>
        <n v="303.32"/>
        <n v="1497.63"/>
        <n v="1100.3599999999999"/>
        <n v="317.25"/>
        <n v="2200.56"/>
        <n v="419.88"/>
        <n v="161.54"/>
        <n v="30.44"/>
        <n v="179.22"/>
        <n v="388.33"/>
        <n v="586.44000000000005"/>
        <n v="1955.12"/>
        <n v="280.25"/>
        <n v="1033.2"/>
        <n v="1437.63"/>
        <n v="1571.35"/>
        <n v="1898.76"/>
        <n v="2373.08"/>
        <n v="417.1"/>
        <n v="488.8"/>
        <n v="86.3"/>
        <n v="564.86"/>
        <n v="391.83"/>
        <n v="408.5"/>
        <n v="635.90000000000009"/>
        <n v="48.4"/>
        <n v="1472.76"/>
        <n v="1435.95"/>
        <n v="629.21"/>
        <n v="1303.3499999999999"/>
        <n v="2357.7600000000002"/>
        <n v="1733.8"/>
        <n v="454.35"/>
        <n v="1194.51"/>
        <n v="1531.52"/>
        <n v="583.17999999999995"/>
        <n v="701.44"/>
        <n v="623.82000000000005"/>
        <n v="1768.68"/>
        <n v="788.6"/>
        <n v="2260.8000000000002"/>
        <n v="2161.64"/>
        <n v="330.98"/>
        <n v="440.18999999999988"/>
        <n v="3215.15"/>
        <n v="675.33"/>
        <n v="344.43"/>
        <n v="2276.65"/>
        <n v="728.32"/>
        <n v="2463.75"/>
        <n v="194.44"/>
        <n v="1724.04"/>
        <n v="531.17999999999995"/>
        <n v="470.04"/>
        <n v="465.66"/>
        <n v="3097.6"/>
        <n v="457.08"/>
        <n v="201.58"/>
        <n v="1994.37"/>
        <n v="381.02"/>
        <n v="140.68"/>
        <n v="873.72"/>
        <n v="582.04"/>
        <n v="556.20000000000005"/>
        <n v="1395.15"/>
        <n v="3353.75"/>
        <n v="241.9"/>
        <n v="1778.61"/>
        <n v="220.77"/>
        <n v="927.66000000000008"/>
        <n v="410.6"/>
        <n v="950.40000000000009"/>
        <n v="2492.4"/>
        <n v="1874.95"/>
        <n v="1165.4000000000001"/>
        <n v="535.5"/>
        <n v="2513.5500000000002"/>
        <n v="1069.3399999999999"/>
        <n v="2517.36"/>
        <n v="410.78"/>
        <n v="1066.04"/>
        <n v="834.12000000000012"/>
        <n v="1135.1600000000001"/>
        <n v="1025.3"/>
        <n v="1102"/>
        <n v="1407.96"/>
        <n v="84.28"/>
        <n v="1055.72"/>
        <n v="1503.9"/>
        <n v="84.8"/>
        <n v="1803"/>
        <n v="1208.2"/>
        <n v="399.4"/>
        <n v="137.62"/>
        <n v="44.35"/>
        <n v="501.96"/>
        <n v="298.06"/>
        <n v="583.9"/>
        <n v="1584.42"/>
        <n v="2052.42"/>
        <n v="1363.85"/>
        <n v="1600.28"/>
        <n v="1098.9000000000001"/>
        <n v="440.73"/>
        <n v="822.98"/>
        <n v="930.36"/>
        <n v="639.82000000000005"/>
        <n v="217.56"/>
        <n v="211.14"/>
        <n v="2223.8000000000002"/>
        <n v="798.08"/>
        <n v="2137.92"/>
        <n v="1632.84"/>
        <n v="424.4"/>
        <n v="539.66"/>
        <n v="1129.1600000000001"/>
        <n v="331.06"/>
        <n v="299.35000000000002"/>
        <n v="405.28"/>
        <n v="197.58"/>
        <n v="641.39"/>
        <n v="2682.9"/>
        <n v="1000.58"/>
        <n v="258.87"/>
        <n v="768.28"/>
        <n v="594.96"/>
        <n v="427.82"/>
        <n v="2651.76"/>
        <n v="296.44"/>
        <n v="254.12"/>
        <n v="1993.38"/>
        <n v="2403.2399999999998"/>
        <n v="341.7"/>
        <n v="1723.32"/>
        <n v="2158.4499999999998"/>
        <n v="2048.2399999999998"/>
        <n v="1619.73"/>
        <n v="1580.35"/>
        <n v="2021.95"/>
        <n v="600.54"/>
        <n v="931.4"/>
        <n v="858.16"/>
        <n v="210.7"/>
        <n v="267.10000000000002"/>
        <n v="590.87"/>
        <n v="727.82"/>
        <n v="2147.25"/>
        <n v="671.09999999999991"/>
        <n v="977.74"/>
        <n v="645.46"/>
        <n v="46.66"/>
        <n v="249.57"/>
        <n v="1857.63"/>
        <n v="868.52"/>
        <n v="1107.55"/>
        <n v="1361.2"/>
        <n v="625"/>
        <n v="2166.3000000000002"/>
        <n v="1349.8"/>
        <n v="761.93999999999994"/>
        <n v="1070.52"/>
        <n v="1654.84"/>
        <n v="442.17"/>
        <n v="916.4"/>
        <n v="121.96"/>
        <n v="816.64"/>
        <n v="939.85"/>
        <n v="1075.44"/>
        <n v="580.74"/>
        <n v="265.38"/>
        <n v="634.4"/>
        <n v="1222.8800000000001"/>
        <n v="303.60000000000002"/>
        <n v="1984"/>
        <n v="1286.04"/>
        <n v="337.38"/>
        <n v="309.85000000000002"/>
        <n v="746.34"/>
        <n v="3196.85"/>
        <n v="2773.44"/>
        <n v="2771.64"/>
        <n v="365.84"/>
        <n v="821.87999999999988"/>
        <n v="1764.15"/>
        <n v="730.34"/>
        <n v="1543.68"/>
        <n v="562.61"/>
        <n v="247.64"/>
        <n v="167.6"/>
        <n v="1777.76"/>
        <n v="933.99"/>
        <n v="945.64"/>
        <n v="65.45"/>
        <n v="318.81"/>
        <n v="1751.16"/>
        <n v="1537.28"/>
        <n v="1616.22"/>
        <n v="17.239999999999998"/>
        <n v="3078.35"/>
        <n v="438.2"/>
        <n v="289.32"/>
        <n v="635.54"/>
        <n v="223.3"/>
        <n v="684.22"/>
        <n v="441.8"/>
        <n v="670.54"/>
        <n v="546.19000000000005"/>
        <n v="128.85"/>
        <n v="58.76"/>
        <n v="2673.44"/>
        <n v="1654.96"/>
        <n v="789.56999999999994"/>
        <n v="263.95999999999998"/>
        <n v="379.05"/>
        <n v="406.22"/>
        <n v="206.82"/>
        <n v="1740.48"/>
        <n v="815.58"/>
        <n v="868.25"/>
        <n v="996.28"/>
        <n v="1739.4"/>
        <n v="436.77"/>
        <n v="572.13"/>
        <n v="2332.2800000000002"/>
        <n v="2342.5500000000002"/>
        <n v="847.76"/>
        <n v="2654.68"/>
        <n v="1239.6400000000001"/>
        <n v="542.07000000000005"/>
        <n v="798.64"/>
        <n v="476.5"/>
        <n v="364.8"/>
        <n v="130.13999999999999"/>
        <n v="1201.1400000000001"/>
        <n v="454.6"/>
        <n v="1812.3"/>
        <n v="165.03"/>
        <n v="1213.8599999999999"/>
        <n v="2619.16"/>
        <n v="2551.16"/>
        <n v="2161.3200000000002"/>
        <n v="1040.8499999999999"/>
        <n v="338.31"/>
        <n v="418.35"/>
        <n v="2620.7199999999998"/>
        <n v="2051"/>
        <n v="641.96"/>
        <n v="299.7"/>
        <n v="690.02"/>
        <n v="65.95"/>
        <n v="1852.16"/>
        <n v="595.41999999999996"/>
        <n v="537.4"/>
        <n v="3194"/>
        <n v="987.76"/>
        <n v="1204.68"/>
        <n v="278.66000000000003"/>
        <n v="287.45999999999998"/>
        <n v="583.99"/>
        <n v="1406.22"/>
        <n v="30.54"/>
        <n v="2043.65"/>
        <n v="507.56"/>
        <n v="114.14"/>
        <n v="1672.23"/>
        <n v="1346.7"/>
        <n v="2199.04"/>
        <n v="397.43999999999988"/>
        <n v="2446.85"/>
        <n v="331.55"/>
        <n v="868.6"/>
        <n v="612.36"/>
        <n v="458.35"/>
        <n v="1101.1199999999999"/>
        <n v="279.89999999999998"/>
        <n v="446.16"/>
        <n v="1126.1199999999999"/>
        <n v="625.51"/>
        <n v="609.16"/>
        <n v="1159.0999999999999"/>
        <n v="150.16999999999999"/>
        <n v="212.79"/>
        <n v="1084.17"/>
        <n v="3352.4"/>
        <n v="359.99"/>
        <n v="3370.2"/>
        <n v="1132.6400000000001"/>
        <n v="1302.6500000000001"/>
        <n v="1266.3900000000001"/>
        <n v="625.1"/>
        <n v="198.51"/>
        <n v="899"/>
        <n v="617.58000000000004"/>
        <n v="18.2"/>
        <n v="1508.31"/>
        <n v="1527.45"/>
        <n v="472.66"/>
        <n v="2606.25"/>
        <n v="167.15"/>
        <n v="2332.1"/>
        <n v="527.57000000000005"/>
        <n v="1870.02"/>
        <n v="2506.3000000000002"/>
        <n v="655.09"/>
        <n v="1059.1600000000001"/>
        <n v="1079.19"/>
        <n v="465.33"/>
        <n v="108.82"/>
        <n v="64.66"/>
        <n v="869.80000000000007"/>
        <n v="630.82000000000005"/>
        <n v="693.41"/>
        <n v="1299.99"/>
        <n v="1872.9"/>
        <n v="2042.8"/>
        <n v="367.34"/>
        <n v="2426.2800000000002"/>
        <n v="2358.2800000000002"/>
        <n v="3299.25"/>
        <n v="827.36"/>
        <n v="569.35"/>
        <n v="3143.7"/>
        <n v="678.38"/>
        <n v="1806.72"/>
        <n v="3293.85"/>
        <n v="813.06"/>
        <n v="1876.25"/>
        <n v="312.11"/>
        <n v="1538.8"/>
        <n v="1450.59"/>
        <n v="1023.45"/>
        <n v="571.9"/>
        <n v="380.12"/>
        <n v="1006.1"/>
        <n v="260.26"/>
        <n v="322.5"/>
        <n v="893.01"/>
        <n v="1327.6"/>
        <n v="191.76"/>
        <n v="1052.3599999999999"/>
        <n v="1575.2"/>
        <n v="1660.71"/>
        <n v="958.15"/>
        <n v="93.02"/>
        <n v="79.06"/>
        <n v="1901.91"/>
        <n v="2790"/>
        <n v="2543.4499999999998"/>
        <n v="1054.92"/>
        <n v="627.20000000000005"/>
        <n v="75.010000000000005"/>
        <n v="2647.75"/>
        <n v="382.23"/>
        <n v="1435.65"/>
        <n v="427.06"/>
        <n v="269.64999999999998"/>
        <n v="2119.65"/>
        <n v="640.88"/>
        <n v="538.67999999999995"/>
        <n v="1686.9"/>
        <n v="620.21"/>
        <n v="198.2"/>
        <n v="1807.88"/>
        <n v="264.39999999999998"/>
        <n v="2189.2800000000002"/>
        <n v="1237.5899999999999"/>
        <n v="420.65"/>
        <n v="1036.46"/>
        <n v="79.02"/>
        <n v="665.05"/>
        <n v="118.8"/>
        <n v="279.14"/>
        <n v="184.15"/>
        <n v="1288.0999999999999"/>
        <n v="277.05"/>
        <n v="310.93"/>
        <n v="433.32"/>
        <n v="452.7"/>
        <n v="576.41999999999996"/>
        <n v="826.4"/>
        <n v="2740.8"/>
        <n v="114.7"/>
        <n v="603.76"/>
        <n v="287.25"/>
        <n v="161.24"/>
        <n v="1050.32"/>
        <n v="2060.7600000000002"/>
        <n v="450.07"/>
        <n v="52.54"/>
        <n v="848.64"/>
        <n v="1894.92"/>
        <n v="1638.4"/>
        <n v="414.47"/>
        <n v="885.32"/>
        <n v="512.39"/>
        <n v="1378.02"/>
        <n v="146.32"/>
        <n v="334.4"/>
        <n v="657.08"/>
        <n v="1574.7"/>
        <n v="139.28"/>
        <n v="135.16999999999999"/>
        <n v="487.21"/>
        <n v="2547.9"/>
        <n v="833.62"/>
        <n v="320"/>
        <n v="759.15000000000009"/>
        <n v="3075.5"/>
        <n v="183.18"/>
        <n v="75.78"/>
        <n v="675.57"/>
        <n v="109.29"/>
        <n v="639.83000000000004"/>
        <n v="314.05"/>
        <n v="2463.3200000000002"/>
        <n v="2042.32"/>
        <n v="334.39"/>
        <n v="144.25"/>
        <n v="401.82"/>
        <n v="252.68"/>
        <n v="3313.9"/>
        <n v="1737.68"/>
        <n v="2567.4499999999998"/>
        <n v="432.47"/>
        <n v="45.94"/>
        <n v="418.36"/>
        <n v="3384.9"/>
        <n v="1054.48"/>
        <n v="2756.35"/>
        <n v="1524.36"/>
        <n v="29.86"/>
        <n v="688.02"/>
        <n v="877.24"/>
        <n v="1027.18"/>
        <n v="507.48"/>
        <n v="188.31"/>
        <n v="101.16"/>
        <n v="335.1"/>
        <n v="1939.4"/>
        <n v="1144.23"/>
        <n v="1739.6"/>
        <n v="60.04"/>
        <n v="1214.3699999999999"/>
        <n v="2445.04"/>
        <n v="1039.56"/>
        <n v="36.65"/>
        <n v="448.02"/>
        <n v="2339.0500000000002"/>
        <n v="2103.5"/>
        <n v="3032.6"/>
        <n v="420.26"/>
        <n v="1517.37"/>
        <n v="1974.92"/>
        <n v="603.63"/>
        <n v="336.87"/>
        <n v="530.24"/>
        <n v="1618.38"/>
        <n v="2542.9499999999998"/>
        <n v="813.84"/>
        <n v="1695.75"/>
        <n v="410.52"/>
        <n v="929"/>
        <n v="869.94"/>
        <n v="87.34"/>
        <n v="171.59"/>
        <n v="558.27"/>
        <n v="850.06"/>
        <n v="376.76"/>
        <n v="2876.2"/>
        <n v="1704.06"/>
        <n v="284.64"/>
        <n v="912.44999999999993"/>
        <n v="1660.56"/>
        <n v="500.97"/>
        <n v="793.4"/>
        <n v="1614.32"/>
        <n v="1857.16"/>
        <n v="1907.94"/>
        <n v="528.05999999999995"/>
        <n v="515.32000000000005"/>
        <n v="2631.16"/>
        <n v="153"/>
        <n v="668.48"/>
        <n v="93"/>
        <n v="3267.35"/>
        <n v="628.89"/>
        <n v="1350.2"/>
        <n v="357.64"/>
        <n v="1600.05"/>
        <n v="82"/>
        <n v="565.85"/>
        <n v="1945.77"/>
        <n v="204.36"/>
        <n v="616.1"/>
        <n v="742.41"/>
        <n v="1472.22"/>
        <n v="1595.16"/>
        <n v="3243.25"/>
        <n v="2280.3000000000002"/>
        <n v="17.98"/>
        <n v="1349.3"/>
        <n v="159.80000000000001"/>
        <n v="196.94"/>
        <n v="158.68"/>
        <n v="613.98"/>
        <n v="1278.3599999999999"/>
        <n v="2519.52"/>
        <n v="915.64"/>
        <n v="120.98"/>
        <n v="1700.72"/>
        <n v="667.66"/>
        <n v="985.8"/>
        <n v="92.04"/>
        <n v="654.27"/>
        <n v="56.2"/>
        <n v="2512.48"/>
        <n v="472.2"/>
        <n v="2355.4"/>
        <n v="989.56"/>
        <n v="1991.79"/>
        <n v="132.68"/>
        <n v="1821.4"/>
        <n v="1539.9"/>
        <n v="650.84"/>
        <n v="2464.6999999999998"/>
        <n v="687.98"/>
        <n v="1253.4000000000001"/>
        <n v="724.28"/>
        <n v="214.08"/>
        <n v="70.319999999999993"/>
        <n v="2107.1"/>
        <n v="1923.45"/>
        <n v="2240.75"/>
        <n v="395.4"/>
        <n v="741.64"/>
        <n v="2830.35"/>
        <n v="375.76"/>
        <n v="511.98"/>
        <n v="627.34"/>
        <n v="1422.42"/>
        <n v="463.11"/>
        <n v="580.20000000000005"/>
        <n v="268.32"/>
        <n v="522.08000000000004"/>
        <n v="2573"/>
        <n v="2311.2800000000002"/>
        <n v="1001.6"/>
        <n v="922.26"/>
        <n v="605.28"/>
        <n v="612.81000000000006"/>
        <n v="489.8"/>
        <n v="363.2"/>
        <n v="770.32"/>
        <n v="1819.23"/>
        <n v="423.64"/>
        <n v="2476.75"/>
        <n v="1670.97"/>
        <n v="72.31"/>
        <n v="124.1"/>
        <n v="104.16"/>
        <n v="657.07"/>
        <n v="97.859999999999985"/>
        <n v="457.82"/>
        <n v="824.25"/>
        <n v="2536.1999999999998"/>
        <n v="2715.8"/>
        <n v="1347.39"/>
        <n v="1948.1"/>
        <n v="305.17"/>
        <n v="1335.36"/>
        <n v="460.72"/>
        <n v="96.81"/>
        <n v="2300.6999999999998"/>
        <n v="1804.8"/>
        <n v="553.41"/>
        <n v="411.34"/>
        <n v="532.89"/>
        <n v="409.02"/>
        <n v="2380.0500000000002"/>
        <n v="1181.9000000000001"/>
        <n v="1188"/>
        <n v="1709.8"/>
        <n v="672.89"/>
        <n v="1314.96"/>
        <n v="1496.04"/>
        <n v="2793.15"/>
        <n v="59.19"/>
        <n v="1244.2"/>
        <n v="138.33000000000001"/>
        <n v="3390.8"/>
        <n v="3008.6"/>
        <n v="518.64"/>
        <n v="191.04"/>
        <n v="1484.28"/>
        <n v="1225.4000000000001"/>
        <n v="2313.08"/>
        <n v="529.19000000000005"/>
        <n v="1174.98"/>
        <n v="2270.2800000000002"/>
        <n v="426.1"/>
        <n v="438.37"/>
        <n v="732.46"/>
        <n v="300.10000000000002"/>
        <n v="1994.04"/>
        <n v="1018.17"/>
        <n v="1151.6600000000001"/>
        <n v="1285.96"/>
        <n v="744.46"/>
        <n v="1939.02"/>
        <n v="1709.2"/>
        <n v="2070.9"/>
        <n v="1147.1099999999999"/>
        <n v="265.2"/>
        <n v="378.12"/>
        <n v="351.16"/>
        <n v="92.72"/>
        <n v="1284.08"/>
        <n v="1303.1400000000001"/>
        <n v="1274.67"/>
        <n v="1316.67"/>
        <n v="72.599999999999994"/>
        <n v="779"/>
        <n v="925.04"/>
        <n v="1308.48"/>
        <n v="466.42"/>
        <n v="507.34"/>
        <n v="257"/>
        <n v="2156.8000000000002"/>
        <n v="253.7"/>
        <n v="1248.32"/>
        <n v="745.84"/>
        <n v="1435"/>
        <n v="1026.06"/>
        <n v="844.68"/>
        <n v="110.35"/>
        <n v="489.39"/>
        <n v="1081.98"/>
        <n v="1390.17"/>
        <n v="155.27000000000001"/>
        <n v="1528.26"/>
        <n v="2609.92"/>
        <n v="139.36000000000001"/>
        <n v="234.37"/>
        <n v="160.80000000000001"/>
        <n v="332.09"/>
        <n v="2372.88"/>
        <n v="889.68"/>
        <n v="24.48"/>
        <n v="717.24"/>
        <n v="984.2"/>
        <n v="176.58"/>
        <n v="2666.08"/>
        <n v="506.5"/>
        <n v="604.79999999999995"/>
        <n v="474.25"/>
        <n v="776.44"/>
        <n v="1842.45"/>
        <n v="185.82"/>
        <n v="276.66000000000003"/>
        <n v="1687.65"/>
        <n v="92.79"/>
        <n v="121.08"/>
        <n v="98.16"/>
        <n v="1140.45"/>
        <n v="2600.16"/>
        <n v="665.11"/>
        <n v="386.03"/>
        <n v="107.7"/>
        <n v="951.56"/>
        <n v="136.80000000000001"/>
        <n v="2129.96"/>
        <n v="51.73"/>
        <n v="1960.89"/>
        <n v="1362.87"/>
        <n v="366.33"/>
        <n v="258.95999999999998"/>
        <n v="1362.12"/>
        <n v="644.75"/>
        <n v="237.18"/>
        <n v="95.1"/>
        <n v="164.85"/>
        <n v="410.91"/>
        <n v="389.7"/>
        <n v="2332.08"/>
        <n v="478.75"/>
        <n v="1303.04"/>
        <n v="745.64"/>
        <n v="474.6"/>
        <n v="2922.3"/>
        <n v="132.05000000000001"/>
        <n v="1979.36"/>
        <n v="898.44"/>
        <n v="176.28"/>
        <n v="2092.65"/>
        <n v="2131.48"/>
        <n v="970.74"/>
        <n v="1546.92"/>
        <n v="754.94"/>
        <n v="1663.2"/>
        <n v="2099.79"/>
        <n v="576.35"/>
        <n v="922.74"/>
        <n v="445.2"/>
        <n v="1985.67"/>
        <n v="519.16"/>
        <n v="212.43"/>
        <n v="518.39"/>
        <n v="581.64"/>
        <n v="1199.72"/>
        <n v="1717.48"/>
        <n v="482.98"/>
        <n v="904.1"/>
        <n v="1010.13"/>
        <n v="283.69"/>
        <n v="157.72"/>
        <n v="1874.52"/>
        <n v="924.03"/>
        <n v="39.56"/>
        <n v="151.04"/>
        <n v="230.88"/>
        <n v="569.96"/>
        <n v="3137.15"/>
        <n v="1069.82"/>
        <n v="557.76"/>
        <n v="646.44000000000005"/>
        <n v="3267.3"/>
        <n v="2714.2"/>
        <n v="314.38"/>
        <n v="2077.3200000000002"/>
        <n v="604.87"/>
        <n v="1024.6600000000001"/>
        <n v="61.62"/>
        <n v="1250.44"/>
        <n v="21.19"/>
        <n v="322.45"/>
        <n v="987.4"/>
        <n v="1766.22"/>
        <n v="737.92"/>
        <n v="2621.3000000000002"/>
        <n v="987.26"/>
        <n v="438.34"/>
        <n v="325.81"/>
        <n v="176.1"/>
        <n v="226.55"/>
        <n v="887.84"/>
        <n v="1202.8599999999999"/>
        <n v="3456.4"/>
        <n v="1671.56"/>
        <n v="1637.12"/>
        <n v="712.7"/>
        <n v="851.1"/>
        <n v="1539.4"/>
        <n v="463.08"/>
        <n v="1738.65"/>
        <n v="877.52"/>
        <n v="2441.75"/>
        <n v="1314.24"/>
        <n v="68.39"/>
        <n v="2382.48"/>
        <n v="3223.2"/>
        <n v="1989.05"/>
        <n v="709.5"/>
        <n v="2360.0500000000002"/>
        <n v="1268.75"/>
        <n v="2028.63"/>
        <n v="402.15"/>
        <n v="1087.1500000000001"/>
        <n v="553.55999999999995"/>
        <n v="57.1"/>
        <n v="510.52"/>
        <n v="1462.7"/>
        <n v="590.04"/>
        <n v="1709.52"/>
        <n v="2873.95"/>
        <n v="2392.7600000000002"/>
        <n v="1563.36"/>
        <n v="796.9"/>
        <n v="3119.05"/>
        <n v="697.96"/>
        <n v="479.56"/>
        <n v="2612.52"/>
        <n v="1443.3"/>
        <n v="1358.45"/>
        <n v="1391.43"/>
        <n v="1279.76"/>
        <n v="1618.32"/>
        <n v="76.930000000000007"/>
        <n v="762.56"/>
        <n v="177.46"/>
        <n v="2428.5500000000002"/>
        <n v="391.45"/>
        <n v="110.7"/>
        <n v="679.65"/>
        <n v="178.44"/>
        <n v="3277.75"/>
        <n v="2308.3200000000002"/>
        <n v="593.91"/>
        <n v="1235.8499999999999"/>
        <n v="886.44"/>
        <n v="1092.42"/>
        <n v="1290.18"/>
        <n v="320.92"/>
        <n v="322.08"/>
        <n v="719.72"/>
        <n v="1736.92"/>
        <n v="1291.7"/>
        <n v="857.4"/>
        <n v="1915.5"/>
        <n v="365.57"/>
        <n v="1704.15"/>
        <n v="1470.03"/>
        <n v="1117.8"/>
        <n v="1203.05"/>
        <n v="586.62"/>
        <n v="773.52"/>
        <n v="2178.3000000000002"/>
        <n v="1306.6500000000001"/>
        <n v="422.54"/>
        <n v="1652.25"/>
        <n v="362.46"/>
        <n v="14.06"/>
        <n v="491.11"/>
        <n v="2709.48"/>
        <n v="946.25"/>
        <n v="570.32000000000005"/>
        <n v="1265.28"/>
        <n v="1067.9000000000001"/>
        <n v="1880.36"/>
        <n v="972.90000000000009"/>
        <n v="977.8"/>
        <n v="666.94999999999993"/>
        <n v="3044.55"/>
        <n v="524.05999999999995"/>
        <n v="661.38"/>
        <n v="1095.3399999999999"/>
        <n v="934.8"/>
        <n v="897.7"/>
        <n v="548.24"/>
        <n v="2807.4"/>
        <n v="595.54"/>
        <n v="2062.36"/>
        <n v="460.13"/>
        <n v="514.98"/>
        <n v="533.9"/>
        <n v="3253.6"/>
        <n v="1318.59"/>
        <n v="1963.62"/>
        <n v="394.53"/>
        <n v="678.01"/>
        <n v="1725.03"/>
        <n v="463.92"/>
        <n v="441.87"/>
        <n v="1925.92"/>
        <n v="475.11"/>
        <n v="646.74"/>
        <n v="369.15"/>
        <n v="458.63"/>
        <n v="721"/>
        <n v="1420.47"/>
        <n v="949.72"/>
        <n v="442.39"/>
        <n v="62.12"/>
        <n v="1491.95"/>
        <n v="1395.86"/>
        <n v="583.70000000000005"/>
        <n v="926.94"/>
        <n v="1984.3"/>
        <n v="279.38"/>
        <n v="2379.75"/>
        <n v="626.6"/>
        <n v="2011.96"/>
        <n v="2894.15"/>
        <n v="1919.1"/>
        <n v="1841.25"/>
        <n v="749.2"/>
        <n v="856.18"/>
        <n v="438.93"/>
        <n v="1127.6400000000001"/>
        <n v="1949.79"/>
        <n v="1342.15"/>
        <n v="2512.35"/>
        <n v="26.95"/>
        <n v="258.76"/>
        <n v="741.33"/>
        <n v="1072.5"/>
        <n v="912.08"/>
        <n v="80.459999999999994"/>
        <n v="144.78"/>
        <n v="788.32"/>
        <n v="479.36"/>
        <n v="2078.13"/>
        <n v="226.64"/>
        <n v="597.05999999999995"/>
        <n v="994.37999999999988"/>
        <n v="1042.8"/>
        <n v="1221.28"/>
        <n v="558.5"/>
        <n v="479.76"/>
        <n v="580.47"/>
        <n v="852.44"/>
        <n v="1382.2"/>
        <n v="809.92"/>
        <n v="1862.64"/>
        <n v="1188.1400000000001"/>
        <n v="551.9"/>
        <n v="596.24"/>
        <n v="612.48"/>
        <n v="1510.17"/>
        <n v="131.61000000000001"/>
        <n v="1330.32"/>
        <n v="408.13"/>
        <n v="321.95999999999998"/>
        <n v="3219.45"/>
        <n v="475.98"/>
        <n v="287.64"/>
        <n v="1137.21"/>
        <n v="601.36"/>
        <n v="284.16000000000003"/>
        <n v="2651.7"/>
        <n v="1822.1"/>
        <n v="2313.12"/>
        <n v="1402.6"/>
        <n v="3194.6"/>
        <n v="1648.8"/>
        <n v="440.34"/>
        <n v="627.15"/>
        <n v="1210.52"/>
        <n v="90.27"/>
        <n v="1153.8499999999999"/>
        <n v="1333.9"/>
        <n v="105.92"/>
        <n v="1767.9"/>
        <n v="2597.88"/>
        <n v="429.96"/>
        <n v="2007.18"/>
        <n v="208.95"/>
        <n v="547.32000000000005"/>
        <n v="304.11"/>
        <n v="1185.1199999999999"/>
        <n v="77.64"/>
        <n v="243.71"/>
        <n v="2579.84"/>
        <n v="1418.65"/>
        <n v="1259.1199999999999"/>
        <n v="984.44"/>
        <n v="836.52"/>
        <n v="1758.63"/>
        <n v="802.34999999999991"/>
        <n v="2462.6"/>
        <n v="226.58"/>
        <n v="1895.44"/>
        <n v="1334.25"/>
        <n v="483.38"/>
        <n v="1304.6500000000001"/>
        <n v="507.36"/>
        <n v="2799.52"/>
        <n v="1599.85"/>
        <n v="987.64"/>
        <n v="1178.55"/>
        <n v="2104.9"/>
        <n v="146.52000000000001"/>
        <n v="1232.6400000000001"/>
        <n v="352.92"/>
        <n v="1978.71"/>
        <n v="956.72"/>
        <n v="120.2"/>
        <n v="1202.24"/>
        <n v="1132.25"/>
        <n v="698.8"/>
        <n v="1343.9"/>
        <n v="1361.7"/>
        <n v="547.43999999999994"/>
        <n v="277.08999999999997"/>
        <n v="53"/>
        <n v="945.81"/>
        <n v="1352.94"/>
        <n v="1168.3499999999999"/>
        <n v="1103.25"/>
        <n v="23.53"/>
        <n v="677.48"/>
        <n v="2219.3200000000002"/>
        <n v="1761.24"/>
        <n v="87.06"/>
        <n v="981.12"/>
        <n v="3322.55"/>
        <n v="618.67999999999995"/>
        <n v="370.85"/>
        <n v="2071.92"/>
        <n v="2024.44"/>
        <n v="1241.49"/>
        <n v="249.81"/>
        <n v="1087.5899999999999"/>
        <n v="598.46"/>
        <n v="536.07000000000005"/>
        <n v="2235.6"/>
        <n v="819.5"/>
        <n v="359.92"/>
        <n v="38.49"/>
        <n v="1582"/>
        <n v="1641.45"/>
        <n v="2161.36"/>
        <n v="294.60000000000002"/>
        <n v="1959.3"/>
        <n v="348.5"/>
        <n v="132.15"/>
        <n v="531.74"/>
        <n v="993.24"/>
        <n v="660.66"/>
        <n v="1099.28"/>
        <n v="972.7"/>
        <n v="1286.6400000000001"/>
        <n v="824.28"/>
        <n v="265.64"/>
        <n v="546.86"/>
        <n v="658.5"/>
        <n v="427.6"/>
        <n v="641.36"/>
        <n v="795.24"/>
        <n v="3334"/>
        <n v="355.09"/>
        <n v="632.4"/>
        <n v="133.38999999999999"/>
        <n v="454.23"/>
        <n v="1965.16"/>
        <n v="510.28"/>
        <n v="392.61"/>
        <n v="1448.24"/>
        <n v="222.73"/>
        <n v="1105.26"/>
        <n v="2746.44"/>
        <n v="915.48"/>
        <n v="41.09"/>
        <n v="3170"/>
        <n v="2323.6999999999998"/>
        <n v="1702.4"/>
        <n v="1719.66"/>
        <n v="123.28"/>
        <n v="70.819999999999993"/>
        <n v="1293.3800000000001"/>
        <n v="1026.8399999999999"/>
        <n v="2772.28"/>
        <n v="1474.29"/>
        <n v="1199.48"/>
        <n v="1300.5"/>
        <n v="628.43999999999994"/>
        <n v="1046"/>
        <n v="789.44"/>
        <n v="2595.64"/>
        <n v="883.08"/>
        <n v="929.84"/>
        <n v="2532.25"/>
        <n v="1023.44"/>
        <n v="250.46"/>
        <n v="190.55"/>
        <n v="485.91"/>
        <n v="1388.68"/>
        <n v="1105.28"/>
        <n v="1259.04"/>
        <n v="1427.07"/>
        <n v="372.8"/>
        <n v="126.42"/>
        <n v="634.94000000000005"/>
        <n v="309.88"/>
        <n v="252.93"/>
        <n v="937.8"/>
        <n v="356.81"/>
        <n v="839.96"/>
        <n v="1979.64"/>
        <n v="672.64"/>
        <n v="1062.98"/>
        <n v="1765.32"/>
        <n v="754.43999999999994"/>
        <n v="684.65"/>
        <n v="195.86"/>
        <n v="151.02000000000001"/>
        <n v="3390.95"/>
        <n v="1662.75"/>
        <n v="2307.48"/>
        <n v="1633.44"/>
        <n v="950.55000000000007"/>
        <n v="1808.25"/>
        <n v="1940.37"/>
        <n v="1674.84"/>
        <n v="646.9"/>
        <n v="694.5"/>
        <n v="674.64"/>
        <n v="935.82"/>
        <n v="153.12"/>
        <n v="146.82"/>
        <n v="2004.99"/>
        <n v="1640.84"/>
        <n v="1177.6400000000001"/>
        <n v="1505.46"/>
        <n v="1105.6600000000001"/>
        <n v="1495.98"/>
        <n v="2780.4"/>
        <n v="381.61"/>
        <n v="2539.6999999999998"/>
        <n v="1714.59"/>
        <n v="2107.1999999999998"/>
        <n v="1176.5999999999999"/>
        <n v="355.15"/>
        <n v="1390.58"/>
        <n v="1210.5999999999999"/>
        <n v="1216.08"/>
        <n v="688.36"/>
        <n v="2786.84"/>
        <n v="595.89"/>
        <n v="2138.2800000000002"/>
        <n v="2763.12"/>
        <n v="904.65000000000009"/>
        <n v="109.68"/>
        <n v="1866.8"/>
        <n v="541.64"/>
        <n v="11.39"/>
        <n v="448.74"/>
        <n v="918.87000000000012"/>
        <n v="1577.85"/>
        <n v="671.37"/>
        <n v="973.41000000000008"/>
        <n v="185.74"/>
        <n v="662.84"/>
        <n v="525.42999999999995"/>
        <n v="1394.38"/>
        <n v="2073.6"/>
        <n v="395.88"/>
        <n v="208.36"/>
        <n v="667.02"/>
        <n v="275.22000000000003"/>
        <n v="427.66"/>
        <n v="127.55"/>
        <n v="70.239999999999995"/>
        <n v="2592.75"/>
        <n v="1193.44"/>
        <n v="476.22"/>
        <n v="840.58"/>
        <n v="281.52"/>
        <n v="204.08"/>
        <n v="343.31"/>
        <n v="163.32"/>
        <n v="369.2"/>
        <n v="742.58"/>
        <n v="1946.1"/>
        <n v="1849.17"/>
        <n v="1505.72"/>
        <n v="1298.55"/>
        <n v="687.89"/>
        <n v="568.31999999999994"/>
        <n v="107.04"/>
        <n v="1325.06"/>
        <n v="873.68"/>
        <n v="1050.08"/>
        <n v="2242.3200000000002"/>
      </sharedItems>
    </cacheField>
    <cacheField name="Years (Date)" numFmtId="0" databaseField="0">
      <fieldGroup base="1">
        <rangePr groupBy="years" startDate="2023-01-01T00:00:00" endDate="2025-07-01T00:00:00"/>
        <groupItems count="5">
          <s v="&lt;01/01/2023"/>
          <s v="2023"/>
          <s v="2024"/>
          <s v="2025"/>
          <s v="&gt;01/07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s v="ORD200000"/>
    <x v="0"/>
    <s v="C72649"/>
    <x v="0"/>
    <n v="5"/>
    <n v="570.62"/>
    <s v="928 Main St"/>
    <x v="0"/>
    <x v="0"/>
    <s v="TRK37947903"/>
    <n v="7"/>
    <s v="SAVE10"/>
    <x v="0"/>
    <x v="0"/>
  </r>
  <r>
    <s v="ORD200001"/>
    <x v="1"/>
    <s v="C75739"/>
    <x v="1"/>
    <n v="2"/>
    <n v="151.35"/>
    <s v="823 Main St"/>
    <x v="1"/>
    <x v="0"/>
    <s v="TRK91186779"/>
    <n v="3"/>
    <s v="SAVE10"/>
    <x v="1"/>
    <x v="1"/>
  </r>
  <r>
    <s v="ORD200002"/>
    <x v="2"/>
    <s v="C81728"/>
    <x v="2"/>
    <n v="5"/>
    <n v="550.67999999999995"/>
    <s v="512 Main St"/>
    <x v="2"/>
    <x v="1"/>
    <s v="TRK42903982"/>
    <n v="8"/>
    <s v="FREESHIP"/>
    <x v="2"/>
    <x v="2"/>
  </r>
  <r>
    <s v="ORD200003"/>
    <x v="3"/>
    <s v="C33540"/>
    <x v="3"/>
    <n v="1"/>
    <n v="273.19"/>
    <s v="275 Main St"/>
    <x v="0"/>
    <x v="2"/>
    <s v="TRK62788070"/>
    <n v="5"/>
    <s v="SAVE10"/>
    <x v="3"/>
    <x v="3"/>
  </r>
  <r>
    <s v="ORD200004"/>
    <x v="4"/>
    <s v="C81840"/>
    <x v="4"/>
    <n v="4"/>
    <n v="626.01"/>
    <s v="668 Main St"/>
    <x v="1"/>
    <x v="3"/>
    <s v="TRK29241424"/>
    <n v="8"/>
    <s v="SAVE10"/>
    <x v="2"/>
    <x v="4"/>
  </r>
  <r>
    <s v="ORD200005"/>
    <x v="5"/>
    <s v="C37249"/>
    <x v="1"/>
    <n v="2"/>
    <n v="245.86"/>
    <s v="934 Main St"/>
    <x v="2"/>
    <x v="0"/>
    <s v="TRK72976927"/>
    <n v="4"/>
    <s v="SAVE10"/>
    <x v="0"/>
    <x v="5"/>
  </r>
  <r>
    <s v="ORD200006"/>
    <x v="6"/>
    <s v="C83492"/>
    <x v="5"/>
    <n v="1"/>
    <n v="664.42"/>
    <s v="986 Main St"/>
    <x v="3"/>
    <x v="2"/>
    <s v="TRK96417362"/>
    <n v="6"/>
    <s v="SAVE10"/>
    <x v="3"/>
    <x v="6"/>
  </r>
  <r>
    <s v="ORD200007"/>
    <x v="7"/>
    <s v="C41460"/>
    <x v="0"/>
    <n v="5"/>
    <n v="149.55000000000001"/>
    <s v="706 Main St"/>
    <x v="4"/>
    <x v="0"/>
    <s v="TRK78809193"/>
    <n v="9"/>
    <s v="FREESHIP"/>
    <x v="3"/>
    <x v="7"/>
  </r>
  <r>
    <s v="ORD200008"/>
    <x v="8"/>
    <s v="C26817"/>
    <x v="1"/>
    <n v="2"/>
    <n v="134.28"/>
    <s v="904 Main St"/>
    <x v="3"/>
    <x v="1"/>
    <s v="TRK61042692"/>
    <n v="2"/>
    <s v="No Coupon"/>
    <x v="2"/>
    <x v="8"/>
  </r>
  <r>
    <s v="ORD200009"/>
    <x v="9"/>
    <s v="C31946"/>
    <x v="6"/>
    <n v="4"/>
    <n v="509.38"/>
    <s v="102 Main St"/>
    <x v="2"/>
    <x v="0"/>
    <s v="TRK33478363"/>
    <n v="6"/>
    <s v="SAVE10"/>
    <x v="4"/>
    <x v="9"/>
  </r>
  <r>
    <s v="ORD200010"/>
    <x v="10"/>
    <s v="C43443"/>
    <x v="2"/>
    <n v="5"/>
    <n v="625.97"/>
    <s v="333 Main St"/>
    <x v="2"/>
    <x v="2"/>
    <s v="TRK98859248"/>
    <n v="9"/>
    <s v="WINTER15"/>
    <x v="0"/>
    <x v="10"/>
  </r>
  <r>
    <s v="ORD200011"/>
    <x v="11"/>
    <s v="C93861"/>
    <x v="0"/>
    <n v="3"/>
    <n v="49.14"/>
    <s v="831 Main St"/>
    <x v="1"/>
    <x v="2"/>
    <s v="TRK48234646"/>
    <n v="7"/>
    <s v="SAVE10"/>
    <x v="2"/>
    <x v="11"/>
  </r>
  <r>
    <s v="ORD200012"/>
    <x v="12"/>
    <s v="C38785"/>
    <x v="0"/>
    <n v="2"/>
    <n v="180.5"/>
    <s v="179 Main St"/>
    <x v="0"/>
    <x v="4"/>
    <s v="TRK20419991"/>
    <n v="6"/>
    <s v="FREESHIP"/>
    <x v="1"/>
    <x v="12"/>
  </r>
  <r>
    <s v="ORD200013"/>
    <x v="13"/>
    <s v="C88348"/>
    <x v="5"/>
    <n v="3"/>
    <n v="201.49"/>
    <s v="903 Main St"/>
    <x v="2"/>
    <x v="2"/>
    <s v="TRK81913874"/>
    <n v="4"/>
    <s v="FREESHIP"/>
    <x v="3"/>
    <x v="13"/>
  </r>
  <r>
    <s v="ORD200014"/>
    <x v="14"/>
    <s v="C98474"/>
    <x v="2"/>
    <n v="2"/>
    <n v="393.33"/>
    <s v="980 Main St"/>
    <x v="0"/>
    <x v="4"/>
    <s v="TRK79186539"/>
    <n v="3"/>
    <s v="SAVE10"/>
    <x v="0"/>
    <x v="14"/>
  </r>
  <r>
    <s v="ORD200015"/>
    <x v="15"/>
    <s v="C39416"/>
    <x v="4"/>
    <n v="1"/>
    <n v="473.96"/>
    <s v="942 Main St"/>
    <x v="4"/>
    <x v="3"/>
    <s v="TRK54930938"/>
    <n v="3"/>
    <s v="No Coupon"/>
    <x v="4"/>
    <x v="15"/>
  </r>
  <r>
    <s v="ORD200016"/>
    <x v="16"/>
    <s v="C28976"/>
    <x v="4"/>
    <n v="2"/>
    <n v="533.80999999999995"/>
    <s v="914 Main St"/>
    <x v="2"/>
    <x v="4"/>
    <s v="TRK13194259"/>
    <n v="3"/>
    <s v="FREESHIP"/>
    <x v="2"/>
    <x v="16"/>
  </r>
  <r>
    <s v="ORD200017"/>
    <x v="17"/>
    <s v="C60672"/>
    <x v="2"/>
    <n v="1"/>
    <n v="423.4"/>
    <s v="382 Main St"/>
    <x v="0"/>
    <x v="0"/>
    <s v="TRK11972116"/>
    <n v="3"/>
    <s v="No Coupon"/>
    <x v="1"/>
    <x v="17"/>
  </r>
  <r>
    <s v="ORD200018"/>
    <x v="18"/>
    <s v="C84329"/>
    <x v="6"/>
    <n v="1"/>
    <n v="431.44"/>
    <s v="891 Main St"/>
    <x v="3"/>
    <x v="4"/>
    <s v="TRK65191045"/>
    <n v="3"/>
    <s v="SAVE10"/>
    <x v="3"/>
    <x v="18"/>
  </r>
  <r>
    <s v="ORD200019"/>
    <x v="19"/>
    <s v="C14552"/>
    <x v="0"/>
    <n v="5"/>
    <n v="224"/>
    <s v="273 Main St"/>
    <x v="4"/>
    <x v="2"/>
    <s v="TRK59101365"/>
    <n v="9"/>
    <s v="SAVE10"/>
    <x v="4"/>
    <x v="19"/>
  </r>
  <r>
    <s v="ORD200020"/>
    <x v="20"/>
    <s v="C54829"/>
    <x v="3"/>
    <n v="5"/>
    <n v="62.51"/>
    <s v="587 Main St"/>
    <x v="4"/>
    <x v="4"/>
    <s v="TRK16718651"/>
    <n v="9"/>
    <s v="WINTER15"/>
    <x v="0"/>
    <x v="20"/>
  </r>
  <r>
    <s v="ORD200021"/>
    <x v="21"/>
    <s v="C99023"/>
    <x v="0"/>
    <n v="4"/>
    <n v="342.95"/>
    <s v="569 Main St"/>
    <x v="4"/>
    <x v="3"/>
    <s v="TRK52646983"/>
    <n v="6"/>
    <s v="No Coupon"/>
    <x v="4"/>
    <x v="21"/>
  </r>
  <r>
    <s v="ORD200022"/>
    <x v="22"/>
    <s v="C34416"/>
    <x v="0"/>
    <n v="2"/>
    <n v="49.62"/>
    <s v="633 Main St"/>
    <x v="1"/>
    <x v="4"/>
    <s v="TRK75937350"/>
    <n v="2"/>
    <s v="SAVE10"/>
    <x v="4"/>
    <x v="22"/>
  </r>
  <r>
    <s v="ORD200023"/>
    <x v="23"/>
    <s v="C42372"/>
    <x v="1"/>
    <n v="4"/>
    <n v="273.25"/>
    <s v="755 Main St"/>
    <x v="0"/>
    <x v="1"/>
    <s v="TRK36168083"/>
    <n v="5"/>
    <s v="FREESHIP"/>
    <x v="1"/>
    <x v="23"/>
  </r>
  <r>
    <s v="ORD200024"/>
    <x v="24"/>
    <s v="C17470"/>
    <x v="5"/>
    <n v="2"/>
    <n v="230.95"/>
    <s v="956 Main St"/>
    <x v="1"/>
    <x v="3"/>
    <s v="TRK28775057"/>
    <n v="3"/>
    <s v="WINTER15"/>
    <x v="1"/>
    <x v="24"/>
  </r>
  <r>
    <s v="ORD200025"/>
    <x v="25"/>
    <s v="C42577"/>
    <x v="0"/>
    <n v="1"/>
    <n v="399.98"/>
    <s v="709 Main St"/>
    <x v="0"/>
    <x v="3"/>
    <s v="TRK69423327"/>
    <n v="3"/>
    <s v="WINTER15"/>
    <x v="2"/>
    <x v="25"/>
  </r>
  <r>
    <s v="ORD200026"/>
    <x v="26"/>
    <s v="C21944"/>
    <x v="5"/>
    <n v="5"/>
    <n v="59.55"/>
    <s v="296 Main St"/>
    <x v="1"/>
    <x v="3"/>
    <s v="TRK80276812"/>
    <n v="6"/>
    <s v="No Coupon"/>
    <x v="1"/>
    <x v="26"/>
  </r>
  <r>
    <s v="ORD200027"/>
    <x v="27"/>
    <s v="C97593"/>
    <x v="4"/>
    <n v="1"/>
    <n v="472.74"/>
    <s v="881 Main St"/>
    <x v="1"/>
    <x v="0"/>
    <s v="TRK89117573"/>
    <n v="6"/>
    <s v="WINTER15"/>
    <x v="4"/>
    <x v="27"/>
  </r>
  <r>
    <s v="ORD200028"/>
    <x v="9"/>
    <s v="C59823"/>
    <x v="1"/>
    <n v="4"/>
    <n v="160.07"/>
    <s v="568 Main St"/>
    <x v="1"/>
    <x v="4"/>
    <s v="TRK65895539"/>
    <n v="5"/>
    <s v="No Coupon"/>
    <x v="2"/>
    <x v="28"/>
  </r>
  <r>
    <s v="ORD200029"/>
    <x v="28"/>
    <s v="C33260"/>
    <x v="6"/>
    <n v="3"/>
    <n v="423.53"/>
    <s v="930 Main St"/>
    <x v="2"/>
    <x v="3"/>
    <s v="TRK59744090"/>
    <n v="6"/>
    <s v="SAVE10"/>
    <x v="1"/>
    <x v="29"/>
  </r>
  <r>
    <s v="ORD200030"/>
    <x v="29"/>
    <s v="C44267"/>
    <x v="0"/>
    <n v="2"/>
    <n v="426.7"/>
    <s v="895 Main St"/>
    <x v="1"/>
    <x v="4"/>
    <s v="TRK54751444"/>
    <n v="5"/>
    <s v="SAVE10"/>
    <x v="1"/>
    <x v="30"/>
  </r>
  <r>
    <s v="ORD200031"/>
    <x v="30"/>
    <s v="C26445"/>
    <x v="3"/>
    <n v="3"/>
    <n v="500.08"/>
    <s v="996 Main St"/>
    <x v="0"/>
    <x v="2"/>
    <s v="TRK31229981"/>
    <n v="6"/>
    <s v="No Coupon"/>
    <x v="3"/>
    <x v="31"/>
  </r>
  <r>
    <s v="ORD200032"/>
    <x v="31"/>
    <s v="C12388"/>
    <x v="2"/>
    <n v="5"/>
    <n v="536.72"/>
    <s v="830 Main St"/>
    <x v="4"/>
    <x v="3"/>
    <s v="TRK99261395"/>
    <n v="10"/>
    <s v="No Coupon"/>
    <x v="2"/>
    <x v="32"/>
  </r>
  <r>
    <s v="ORD200033"/>
    <x v="32"/>
    <s v="C52184"/>
    <x v="3"/>
    <n v="1"/>
    <n v="162.77000000000001"/>
    <s v="912 Main St"/>
    <x v="1"/>
    <x v="1"/>
    <s v="TRK73312471"/>
    <n v="4"/>
    <s v="WINTER15"/>
    <x v="3"/>
    <x v="33"/>
  </r>
  <r>
    <s v="ORD200034"/>
    <x v="33"/>
    <s v="C67195"/>
    <x v="3"/>
    <n v="4"/>
    <n v="576.52"/>
    <s v="926 Main St"/>
    <x v="2"/>
    <x v="4"/>
    <s v="TRK55467915"/>
    <n v="5"/>
    <s v="WINTER15"/>
    <x v="3"/>
    <x v="34"/>
  </r>
  <r>
    <s v="ORD200035"/>
    <x v="34"/>
    <s v="C50304"/>
    <x v="0"/>
    <n v="2"/>
    <n v="465.15"/>
    <s v="128 Main St"/>
    <x v="1"/>
    <x v="0"/>
    <s v="TRK46850888"/>
    <n v="2"/>
    <s v="SAVE10"/>
    <x v="3"/>
    <x v="35"/>
  </r>
  <r>
    <s v="ORD200036"/>
    <x v="4"/>
    <s v="C59337"/>
    <x v="5"/>
    <n v="2"/>
    <n v="534.42999999999995"/>
    <s v="465 Main St"/>
    <x v="0"/>
    <x v="4"/>
    <s v="TRK50961250"/>
    <n v="5"/>
    <s v="No Coupon"/>
    <x v="3"/>
    <x v="36"/>
  </r>
  <r>
    <s v="ORD200037"/>
    <x v="35"/>
    <s v="C10054"/>
    <x v="5"/>
    <n v="2"/>
    <n v="76.739999999999995"/>
    <s v="409 Main St"/>
    <x v="4"/>
    <x v="2"/>
    <s v="TRK94005261"/>
    <n v="7"/>
    <s v="SAVE10"/>
    <x v="0"/>
    <x v="37"/>
  </r>
  <r>
    <s v="ORD200038"/>
    <x v="36"/>
    <s v="C15924"/>
    <x v="5"/>
    <n v="1"/>
    <n v="245.89"/>
    <s v="549 Main St"/>
    <x v="0"/>
    <x v="3"/>
    <s v="TRK14835975"/>
    <n v="3"/>
    <s v="SAVE10"/>
    <x v="4"/>
    <x v="38"/>
  </r>
  <r>
    <s v="ORD200039"/>
    <x v="37"/>
    <s v="C96664"/>
    <x v="4"/>
    <n v="3"/>
    <n v="256.45999999999998"/>
    <s v="666 Main St"/>
    <x v="2"/>
    <x v="3"/>
    <s v="TRK85508960"/>
    <n v="4"/>
    <s v="SAVE10"/>
    <x v="1"/>
    <x v="39"/>
  </r>
  <r>
    <s v="ORD200040"/>
    <x v="38"/>
    <s v="C84766"/>
    <x v="6"/>
    <n v="2"/>
    <n v="344.02"/>
    <s v="267 Main St"/>
    <x v="1"/>
    <x v="3"/>
    <s v="TRK78967923"/>
    <n v="4"/>
    <s v="FREESHIP"/>
    <x v="0"/>
    <x v="40"/>
  </r>
  <r>
    <s v="ORD200041"/>
    <x v="39"/>
    <s v="C20212"/>
    <x v="0"/>
    <n v="3"/>
    <n v="611.45000000000005"/>
    <s v="657 Main St"/>
    <x v="3"/>
    <x v="4"/>
    <s v="TRK69733327"/>
    <n v="4"/>
    <s v="FREESHIP"/>
    <x v="0"/>
    <x v="41"/>
  </r>
  <r>
    <s v="ORD200042"/>
    <x v="40"/>
    <s v="C28712"/>
    <x v="4"/>
    <n v="2"/>
    <n v="151.66"/>
    <s v="980 Main St"/>
    <x v="4"/>
    <x v="1"/>
    <s v="TRK40772558"/>
    <n v="6"/>
    <s v="No Coupon"/>
    <x v="0"/>
    <x v="42"/>
  </r>
  <r>
    <s v="ORD200043"/>
    <x v="41"/>
    <s v="C60572"/>
    <x v="3"/>
    <n v="3"/>
    <n v="499.21"/>
    <s v="871 Main St"/>
    <x v="1"/>
    <x v="1"/>
    <s v="TRK20351666"/>
    <n v="8"/>
    <s v="No Coupon"/>
    <x v="0"/>
    <x v="43"/>
  </r>
  <r>
    <s v="ORD200044"/>
    <x v="42"/>
    <s v="C73225"/>
    <x v="1"/>
    <n v="2"/>
    <n v="550.17999999999995"/>
    <s v="996 Main St"/>
    <x v="3"/>
    <x v="2"/>
    <s v="TRK73848522"/>
    <n v="3"/>
    <s v="FREESHIP"/>
    <x v="1"/>
    <x v="44"/>
  </r>
  <r>
    <s v="ORD200045"/>
    <x v="43"/>
    <s v="C17388"/>
    <x v="3"/>
    <n v="1"/>
    <n v="317.25"/>
    <s v="157 Main St"/>
    <x v="0"/>
    <x v="2"/>
    <s v="TRK47077395"/>
    <n v="1"/>
    <s v="SAVE10"/>
    <x v="3"/>
    <x v="45"/>
  </r>
  <r>
    <s v="ORD200046"/>
    <x v="44"/>
    <s v="C43212"/>
    <x v="0"/>
    <n v="4"/>
    <n v="550.14"/>
    <s v="223 Main St"/>
    <x v="0"/>
    <x v="4"/>
    <s v="TRK25100762"/>
    <n v="4"/>
    <s v="FREESHIP"/>
    <x v="0"/>
    <x v="46"/>
  </r>
  <r>
    <s v="ORD200047"/>
    <x v="45"/>
    <s v="C38134"/>
    <x v="6"/>
    <n v="2"/>
    <n v="209.94"/>
    <s v="323 Main St"/>
    <x v="2"/>
    <x v="2"/>
    <s v="TRK42450754"/>
    <n v="3"/>
    <s v="FREESHIP"/>
    <x v="2"/>
    <x v="47"/>
  </r>
  <r>
    <s v="ORD200048"/>
    <x v="46"/>
    <s v="C12408"/>
    <x v="0"/>
    <n v="2"/>
    <n v="80.77"/>
    <s v="464 Main St"/>
    <x v="0"/>
    <x v="0"/>
    <s v="TRK38938858"/>
    <n v="4"/>
    <s v="No Coupon"/>
    <x v="4"/>
    <x v="48"/>
  </r>
  <r>
    <s v="ORD200049"/>
    <x v="47"/>
    <s v="C11985"/>
    <x v="4"/>
    <n v="1"/>
    <n v="30.44"/>
    <s v="633 Main St"/>
    <x v="2"/>
    <x v="0"/>
    <s v="TRK53272402"/>
    <n v="1"/>
    <s v="SAVE10"/>
    <x v="2"/>
    <x v="49"/>
  </r>
  <r>
    <s v="ORD200050"/>
    <x v="48"/>
    <s v="C96494"/>
    <x v="2"/>
    <n v="1"/>
    <n v="179.22"/>
    <s v="446 Main St"/>
    <x v="1"/>
    <x v="1"/>
    <s v="TRK14675049"/>
    <n v="6"/>
    <s v="FREESHIP"/>
    <x v="0"/>
    <x v="50"/>
  </r>
  <r>
    <s v="ORD200051"/>
    <x v="49"/>
    <s v="C36778"/>
    <x v="2"/>
    <n v="1"/>
    <n v="388.33"/>
    <s v="434 Main St"/>
    <x v="4"/>
    <x v="2"/>
    <s v="TRK67610289"/>
    <n v="2"/>
    <s v="SAVE10"/>
    <x v="3"/>
    <x v="51"/>
  </r>
  <r>
    <s v="ORD200052"/>
    <x v="50"/>
    <s v="C30513"/>
    <x v="2"/>
    <n v="1"/>
    <n v="586.44000000000005"/>
    <s v="232 Main St"/>
    <x v="1"/>
    <x v="2"/>
    <s v="TRK64320429"/>
    <n v="5"/>
    <s v="SAVE10"/>
    <x v="3"/>
    <x v="52"/>
  </r>
  <r>
    <s v="ORD200053"/>
    <x v="51"/>
    <s v="C67551"/>
    <x v="1"/>
    <n v="4"/>
    <n v="488.78"/>
    <s v="512 Main St"/>
    <x v="1"/>
    <x v="2"/>
    <s v="TRK94992552"/>
    <n v="5"/>
    <s v="FREESHIP"/>
    <x v="4"/>
    <x v="53"/>
  </r>
  <r>
    <s v="ORD200054"/>
    <x v="52"/>
    <s v="C48120"/>
    <x v="3"/>
    <n v="1"/>
    <n v="280.25"/>
    <s v="623 Main St"/>
    <x v="1"/>
    <x v="4"/>
    <s v="TRK11014449"/>
    <n v="5"/>
    <s v="WINTER15"/>
    <x v="2"/>
    <x v="54"/>
  </r>
  <r>
    <s v="ORD200055"/>
    <x v="53"/>
    <s v="C95984"/>
    <x v="4"/>
    <n v="3"/>
    <n v="344.4"/>
    <s v="565 Main St"/>
    <x v="1"/>
    <x v="1"/>
    <s v="TRK67434829"/>
    <n v="3"/>
    <s v="No Coupon"/>
    <x v="3"/>
    <x v="55"/>
  </r>
  <r>
    <s v="ORD200056"/>
    <x v="54"/>
    <s v="C54298"/>
    <x v="2"/>
    <n v="3"/>
    <n v="479.21"/>
    <s v="566 Main St"/>
    <x v="4"/>
    <x v="1"/>
    <s v="TRK62902341"/>
    <n v="5"/>
    <s v="WINTER15"/>
    <x v="1"/>
    <x v="56"/>
  </r>
  <r>
    <s v="ORD200057"/>
    <x v="55"/>
    <s v="C88036"/>
    <x v="4"/>
    <n v="5"/>
    <n v="314.27"/>
    <s v="842 Main St"/>
    <x v="4"/>
    <x v="2"/>
    <s v="TRK52470128"/>
    <n v="6"/>
    <s v="SAVE10"/>
    <x v="0"/>
    <x v="57"/>
  </r>
  <r>
    <s v="ORD200058"/>
    <x v="56"/>
    <s v="C60190"/>
    <x v="1"/>
    <n v="4"/>
    <n v="474.69"/>
    <s v="202 Main St"/>
    <x v="3"/>
    <x v="1"/>
    <s v="TRK70857868"/>
    <n v="6"/>
    <s v="SAVE10"/>
    <x v="4"/>
    <x v="58"/>
  </r>
  <r>
    <s v="ORD200059"/>
    <x v="57"/>
    <s v="C97603"/>
    <x v="3"/>
    <n v="4"/>
    <n v="593.27"/>
    <s v="811 Main St"/>
    <x v="1"/>
    <x v="0"/>
    <s v="TRK47055028"/>
    <n v="5"/>
    <s v="No Coupon"/>
    <x v="3"/>
    <x v="59"/>
  </r>
  <r>
    <s v="ORD200060"/>
    <x v="58"/>
    <s v="C39256"/>
    <x v="6"/>
    <n v="1"/>
    <n v="417.1"/>
    <s v="634 Main St"/>
    <x v="0"/>
    <x v="2"/>
    <s v="TRK23412025"/>
    <n v="3"/>
    <s v="FREESHIP"/>
    <x v="1"/>
    <x v="60"/>
  </r>
  <r>
    <s v="ORD200061"/>
    <x v="59"/>
    <s v="C61618"/>
    <x v="6"/>
    <n v="4"/>
    <n v="122.2"/>
    <s v="104 Main St"/>
    <x v="4"/>
    <x v="3"/>
    <s v="TRK43458485"/>
    <n v="7"/>
    <s v="FREESHIP"/>
    <x v="3"/>
    <x v="61"/>
  </r>
  <r>
    <s v="ORD200062"/>
    <x v="60"/>
    <s v="C36497"/>
    <x v="6"/>
    <n v="2"/>
    <n v="43.15"/>
    <s v="691 Main St"/>
    <x v="0"/>
    <x v="4"/>
    <s v="TRK12102911"/>
    <n v="3"/>
    <s v="WINTER15"/>
    <x v="2"/>
    <x v="62"/>
  </r>
  <r>
    <s v="ORD200063"/>
    <x v="61"/>
    <s v="C96695"/>
    <x v="3"/>
    <n v="1"/>
    <n v="564.86"/>
    <s v="813 Main St"/>
    <x v="0"/>
    <x v="0"/>
    <s v="TRK64283851"/>
    <n v="6"/>
    <s v="WINTER15"/>
    <x v="1"/>
    <x v="63"/>
  </r>
  <r>
    <s v="ORD200064"/>
    <x v="62"/>
    <s v="C49720"/>
    <x v="4"/>
    <n v="3"/>
    <n v="130.61000000000001"/>
    <s v="752 Main St"/>
    <x v="0"/>
    <x v="1"/>
    <s v="TRK55785217"/>
    <n v="4"/>
    <s v="FREESHIP"/>
    <x v="3"/>
    <x v="64"/>
  </r>
  <r>
    <s v="ORD200065"/>
    <x v="63"/>
    <s v="C97735"/>
    <x v="0"/>
    <n v="5"/>
    <n v="81.7"/>
    <s v="385 Main St"/>
    <x v="2"/>
    <x v="3"/>
    <s v="TRK13743703"/>
    <n v="6"/>
    <s v="No Coupon"/>
    <x v="0"/>
    <x v="65"/>
  </r>
  <r>
    <s v="ORD200066"/>
    <x v="64"/>
    <s v="C18104"/>
    <x v="3"/>
    <n v="5"/>
    <n v="127.18"/>
    <s v="715 Main St"/>
    <x v="4"/>
    <x v="1"/>
    <s v="TRK15488568"/>
    <n v="9"/>
    <s v="SAVE10"/>
    <x v="1"/>
    <x v="66"/>
  </r>
  <r>
    <s v="ORD200067"/>
    <x v="65"/>
    <s v="C25587"/>
    <x v="4"/>
    <n v="4"/>
    <n v="12.1"/>
    <s v="440 Main St"/>
    <x v="0"/>
    <x v="1"/>
    <s v="TRK55105323"/>
    <n v="8"/>
    <s v="No Coupon"/>
    <x v="4"/>
    <x v="67"/>
  </r>
  <r>
    <s v="ORD200068"/>
    <x v="66"/>
    <s v="C41598"/>
    <x v="3"/>
    <n v="3"/>
    <n v="490.92"/>
    <s v="709 Main St"/>
    <x v="2"/>
    <x v="4"/>
    <s v="TRK81665940"/>
    <n v="5"/>
    <s v="FREESHIP"/>
    <x v="2"/>
    <x v="68"/>
  </r>
  <r>
    <s v="ORD200069"/>
    <x v="67"/>
    <s v="C43338"/>
    <x v="0"/>
    <n v="3"/>
    <n v="478.65"/>
    <s v="552 Main St"/>
    <x v="1"/>
    <x v="0"/>
    <s v="TRK35241775"/>
    <n v="4"/>
    <s v="No Coupon"/>
    <x v="1"/>
    <x v="69"/>
  </r>
  <r>
    <s v="ORD200070"/>
    <x v="68"/>
    <s v="C25123"/>
    <x v="6"/>
    <n v="1"/>
    <n v="629.21"/>
    <s v="384 Main St"/>
    <x v="3"/>
    <x v="4"/>
    <s v="TRK27812282"/>
    <n v="2"/>
    <s v="FREESHIP"/>
    <x v="0"/>
    <x v="70"/>
  </r>
  <r>
    <s v="ORD200071"/>
    <x v="69"/>
    <s v="C37454"/>
    <x v="0"/>
    <n v="3"/>
    <n v="434.45"/>
    <s v="923 Main St"/>
    <x v="2"/>
    <x v="4"/>
    <s v="TRK28252730"/>
    <n v="4"/>
    <s v="No Coupon"/>
    <x v="1"/>
    <x v="71"/>
  </r>
  <r>
    <s v="ORD200072"/>
    <x v="70"/>
    <s v="C19451"/>
    <x v="2"/>
    <n v="4"/>
    <n v="589.44000000000005"/>
    <s v="942 Main St"/>
    <x v="3"/>
    <x v="2"/>
    <s v="TRK87787793"/>
    <n v="5"/>
    <s v="No Coupon"/>
    <x v="3"/>
    <x v="72"/>
  </r>
  <r>
    <s v="ORD200073"/>
    <x v="71"/>
    <s v="C17269"/>
    <x v="0"/>
    <n v="4"/>
    <n v="433.45"/>
    <s v="129 Main St"/>
    <x v="3"/>
    <x v="1"/>
    <s v="TRK79608389"/>
    <n v="4"/>
    <s v="No Coupon"/>
    <x v="3"/>
    <x v="73"/>
  </r>
  <r>
    <s v="ORD200074"/>
    <x v="72"/>
    <s v="C25382"/>
    <x v="1"/>
    <n v="5"/>
    <n v="90.87"/>
    <s v="622 Main St"/>
    <x v="4"/>
    <x v="4"/>
    <s v="TRK64691287"/>
    <n v="5"/>
    <s v="No Coupon"/>
    <x v="0"/>
    <x v="74"/>
  </r>
  <r>
    <s v="ORD200075"/>
    <x v="73"/>
    <s v="C80651"/>
    <x v="2"/>
    <n v="3"/>
    <n v="398.17"/>
    <s v="917 Main St"/>
    <x v="0"/>
    <x v="3"/>
    <s v="TRK14846720"/>
    <n v="5"/>
    <s v="SAVE10"/>
    <x v="2"/>
    <x v="75"/>
  </r>
  <r>
    <s v="ORD200076"/>
    <x v="74"/>
    <s v="C58638"/>
    <x v="5"/>
    <n v="4"/>
    <n v="382.88"/>
    <s v="239 Main St"/>
    <x v="4"/>
    <x v="1"/>
    <s v="TRK38224871"/>
    <n v="6"/>
    <s v="WINTER15"/>
    <x v="2"/>
    <x v="76"/>
  </r>
  <r>
    <s v="ORD200077"/>
    <x v="75"/>
    <s v="C50121"/>
    <x v="1"/>
    <n v="1"/>
    <n v="583.17999999999995"/>
    <s v="348 Main St"/>
    <x v="2"/>
    <x v="2"/>
    <s v="TRK79810059"/>
    <n v="5"/>
    <s v="No Coupon"/>
    <x v="4"/>
    <x v="77"/>
  </r>
  <r>
    <s v="ORD200078"/>
    <x v="76"/>
    <s v="C32029"/>
    <x v="4"/>
    <n v="4"/>
    <n v="175.36"/>
    <s v="146 Main St"/>
    <x v="0"/>
    <x v="3"/>
    <s v="TRK68535532"/>
    <n v="4"/>
    <s v="FREESHIP"/>
    <x v="0"/>
    <x v="78"/>
  </r>
  <r>
    <s v="ORD200079"/>
    <x v="77"/>
    <s v="C76700"/>
    <x v="2"/>
    <n v="2"/>
    <n v="311.91000000000003"/>
    <s v="103 Main St"/>
    <x v="1"/>
    <x v="0"/>
    <s v="TRK13036341"/>
    <n v="2"/>
    <s v="No Coupon"/>
    <x v="3"/>
    <x v="79"/>
  </r>
  <r>
    <s v="ORD200080"/>
    <x v="78"/>
    <s v="C29041"/>
    <x v="1"/>
    <n v="3"/>
    <n v="589.55999999999995"/>
    <s v="591 Main St"/>
    <x v="1"/>
    <x v="2"/>
    <s v="TRK28840655"/>
    <n v="6"/>
    <s v="No Coupon"/>
    <x v="3"/>
    <x v="80"/>
  </r>
  <r>
    <s v="ORD200081"/>
    <x v="79"/>
    <s v="C29314"/>
    <x v="0"/>
    <n v="2"/>
    <n v="394.3"/>
    <s v="496 Main St"/>
    <x v="4"/>
    <x v="0"/>
    <s v="TRK59876213"/>
    <n v="6"/>
    <s v="FREESHIP"/>
    <x v="2"/>
    <x v="81"/>
  </r>
  <r>
    <s v="ORD200082"/>
    <x v="80"/>
    <s v="C65799"/>
    <x v="2"/>
    <n v="4"/>
    <n v="565.20000000000005"/>
    <s v="971 Main St"/>
    <x v="0"/>
    <x v="0"/>
    <s v="TRK66906607"/>
    <n v="9"/>
    <s v="SAVE10"/>
    <x v="4"/>
    <x v="82"/>
  </r>
  <r>
    <s v="ORD200083"/>
    <x v="60"/>
    <s v="C15681"/>
    <x v="5"/>
    <n v="4"/>
    <n v="540.41"/>
    <s v="989 Main St"/>
    <x v="2"/>
    <x v="1"/>
    <s v="TRK75112172"/>
    <n v="6"/>
    <s v="No Coupon"/>
    <x v="1"/>
    <x v="83"/>
  </r>
  <r>
    <s v="ORD200084"/>
    <x v="81"/>
    <s v="C64160"/>
    <x v="0"/>
    <n v="2"/>
    <n v="165.49"/>
    <s v="967 Main St"/>
    <x v="1"/>
    <x v="0"/>
    <s v="TRK34121529"/>
    <n v="4"/>
    <s v="WINTER15"/>
    <x v="0"/>
    <x v="84"/>
  </r>
  <r>
    <s v="ORD200085"/>
    <x v="82"/>
    <s v="C14553"/>
    <x v="2"/>
    <n v="3"/>
    <n v="146.72999999999999"/>
    <s v="768 Main St"/>
    <x v="4"/>
    <x v="3"/>
    <s v="TRK93538334"/>
    <n v="8"/>
    <s v="FREESHIP"/>
    <x v="2"/>
    <x v="85"/>
  </r>
  <r>
    <s v="ORD200086"/>
    <x v="83"/>
    <s v="C88205"/>
    <x v="4"/>
    <n v="5"/>
    <n v="643.03"/>
    <s v="447 Main St"/>
    <x v="1"/>
    <x v="1"/>
    <s v="TRK93504166"/>
    <n v="5"/>
    <s v="FREESHIP"/>
    <x v="1"/>
    <x v="86"/>
  </r>
  <r>
    <s v="ORD200087"/>
    <x v="84"/>
    <s v="C91245"/>
    <x v="2"/>
    <n v="3"/>
    <n v="225.11"/>
    <s v="915 Main St"/>
    <x v="4"/>
    <x v="0"/>
    <s v="TRK46976391"/>
    <n v="4"/>
    <s v="SAVE10"/>
    <x v="3"/>
    <x v="87"/>
  </r>
  <r>
    <s v="ORD200088"/>
    <x v="85"/>
    <s v="C75439"/>
    <x v="6"/>
    <n v="3"/>
    <n v="114.81"/>
    <s v="318 Main St"/>
    <x v="3"/>
    <x v="1"/>
    <s v="TRK19831653"/>
    <n v="7"/>
    <s v="No Coupon"/>
    <x v="4"/>
    <x v="88"/>
  </r>
  <r>
    <s v="ORD200089"/>
    <x v="86"/>
    <s v="C17181"/>
    <x v="4"/>
    <n v="5"/>
    <n v="455.33"/>
    <s v="291 Main St"/>
    <x v="2"/>
    <x v="1"/>
    <s v="TRK78912978"/>
    <n v="8"/>
    <s v="FREESHIP"/>
    <x v="4"/>
    <x v="89"/>
  </r>
  <r>
    <s v="ORD200090"/>
    <x v="87"/>
    <s v="C36540"/>
    <x v="3"/>
    <n v="4"/>
    <n v="182.08"/>
    <s v="611 Main St"/>
    <x v="3"/>
    <x v="3"/>
    <s v="TRK35828122"/>
    <n v="4"/>
    <s v="SAVE10"/>
    <x v="2"/>
    <x v="90"/>
  </r>
  <r>
    <s v="ORD200091"/>
    <x v="88"/>
    <s v="C98216"/>
    <x v="5"/>
    <n v="5"/>
    <n v="492.75"/>
    <s v="196 Main St"/>
    <x v="4"/>
    <x v="0"/>
    <s v="TRK40986666"/>
    <n v="6"/>
    <s v="WINTER15"/>
    <x v="1"/>
    <x v="91"/>
  </r>
  <r>
    <s v="ORD200092"/>
    <x v="89"/>
    <s v="C29568"/>
    <x v="4"/>
    <n v="4"/>
    <n v="48.61"/>
    <s v="203 Main St"/>
    <x v="1"/>
    <x v="0"/>
    <s v="TRK46531075"/>
    <n v="7"/>
    <s v="FREESHIP"/>
    <x v="3"/>
    <x v="92"/>
  </r>
  <r>
    <s v="ORD200093"/>
    <x v="90"/>
    <s v="C97262"/>
    <x v="6"/>
    <n v="4"/>
    <n v="431.01"/>
    <s v="837 Main St"/>
    <x v="2"/>
    <x v="2"/>
    <s v="TRK65990229"/>
    <n v="7"/>
    <s v="No Coupon"/>
    <x v="1"/>
    <x v="93"/>
  </r>
  <r>
    <s v="ORD200094"/>
    <x v="91"/>
    <s v="C79821"/>
    <x v="3"/>
    <n v="1"/>
    <n v="531.17999999999995"/>
    <s v="781 Main St"/>
    <x v="3"/>
    <x v="2"/>
    <s v="TRK12780193"/>
    <n v="6"/>
    <s v="WINTER15"/>
    <x v="0"/>
    <x v="94"/>
  </r>
  <r>
    <s v="ORD200095"/>
    <x v="92"/>
    <s v="C76761"/>
    <x v="4"/>
    <n v="4"/>
    <n v="117.51"/>
    <s v="839 Main St"/>
    <x v="0"/>
    <x v="2"/>
    <s v="TRK60179774"/>
    <n v="7"/>
    <s v="No Coupon"/>
    <x v="1"/>
    <x v="95"/>
  </r>
  <r>
    <s v="ORD200096"/>
    <x v="93"/>
    <s v="C93007"/>
    <x v="1"/>
    <n v="2"/>
    <n v="232.83"/>
    <s v="103 Main St"/>
    <x v="3"/>
    <x v="3"/>
    <s v="TRK85696091"/>
    <n v="7"/>
    <s v="No Coupon"/>
    <x v="0"/>
    <x v="96"/>
  </r>
  <r>
    <s v="ORD200097"/>
    <x v="94"/>
    <s v="C15624"/>
    <x v="2"/>
    <n v="5"/>
    <n v="619.52"/>
    <s v="922 Main St"/>
    <x v="0"/>
    <x v="4"/>
    <s v="TRK40621141"/>
    <n v="9"/>
    <s v="No Coupon"/>
    <x v="2"/>
    <x v="97"/>
  </r>
  <r>
    <s v="ORD200098"/>
    <x v="90"/>
    <s v="C70921"/>
    <x v="4"/>
    <n v="2"/>
    <n v="228.54"/>
    <s v="533 Main St"/>
    <x v="0"/>
    <x v="4"/>
    <s v="TRK54983109"/>
    <n v="3"/>
    <s v="No Coupon"/>
    <x v="2"/>
    <x v="98"/>
  </r>
  <r>
    <s v="ORD200099"/>
    <x v="95"/>
    <s v="C30477"/>
    <x v="4"/>
    <n v="1"/>
    <n v="201.58"/>
    <s v="717 Main St"/>
    <x v="0"/>
    <x v="1"/>
    <s v="TRK51829648"/>
    <n v="2"/>
    <s v="WINTER15"/>
    <x v="2"/>
    <x v="99"/>
  </r>
  <r>
    <s v="ORD200100"/>
    <x v="96"/>
    <s v="C74866"/>
    <x v="1"/>
    <n v="3"/>
    <n v="664.79"/>
    <s v="743 Main St"/>
    <x v="1"/>
    <x v="3"/>
    <s v="TRK53783265"/>
    <n v="6"/>
    <s v="No Coupon"/>
    <x v="3"/>
    <x v="100"/>
  </r>
  <r>
    <s v="ORD200101"/>
    <x v="97"/>
    <s v="C15283"/>
    <x v="4"/>
    <n v="1"/>
    <n v="381.02"/>
    <s v="152 Main St"/>
    <x v="4"/>
    <x v="0"/>
    <s v="TRK19286291"/>
    <n v="6"/>
    <s v="No Coupon"/>
    <x v="4"/>
    <x v="101"/>
  </r>
  <r>
    <s v="ORD200102"/>
    <x v="98"/>
    <s v="C18037"/>
    <x v="5"/>
    <n v="2"/>
    <n v="70.34"/>
    <s v="944 Main St"/>
    <x v="3"/>
    <x v="1"/>
    <s v="TRK47362236"/>
    <n v="3"/>
    <s v="FREESHIP"/>
    <x v="2"/>
    <x v="102"/>
  </r>
  <r>
    <s v="ORD200103"/>
    <x v="99"/>
    <s v="C62656"/>
    <x v="1"/>
    <n v="4"/>
    <n v="218.43"/>
    <s v="514 Main St"/>
    <x v="2"/>
    <x v="1"/>
    <s v="TRK86296459"/>
    <n v="9"/>
    <s v="SAVE10"/>
    <x v="2"/>
    <x v="103"/>
  </r>
  <r>
    <s v="ORD200104"/>
    <x v="100"/>
    <s v="C65744"/>
    <x v="1"/>
    <n v="1"/>
    <n v="582.04"/>
    <s v="647 Main St"/>
    <x v="3"/>
    <x v="3"/>
    <s v="TRK39906058"/>
    <n v="1"/>
    <s v="FREESHIP"/>
    <x v="2"/>
    <x v="104"/>
  </r>
  <r>
    <s v="ORD200105"/>
    <x v="101"/>
    <s v="C72290"/>
    <x v="4"/>
    <n v="3"/>
    <n v="185.4"/>
    <s v="810 Main St"/>
    <x v="3"/>
    <x v="1"/>
    <s v="TRK68792129"/>
    <n v="7"/>
    <s v="No Coupon"/>
    <x v="3"/>
    <x v="105"/>
  </r>
  <r>
    <s v="ORD200106"/>
    <x v="102"/>
    <s v="C73514"/>
    <x v="6"/>
    <n v="3"/>
    <n v="465.05"/>
    <s v="126 Main St"/>
    <x v="2"/>
    <x v="1"/>
    <s v="TRK96777924"/>
    <n v="3"/>
    <s v="SAVE10"/>
    <x v="2"/>
    <x v="106"/>
  </r>
  <r>
    <s v="ORD200107"/>
    <x v="14"/>
    <s v="C16775"/>
    <x v="4"/>
    <n v="5"/>
    <n v="670.75"/>
    <s v="848 Main St"/>
    <x v="3"/>
    <x v="0"/>
    <s v="TRK34392124"/>
    <n v="8"/>
    <s v="FREESHIP"/>
    <x v="0"/>
    <x v="107"/>
  </r>
  <r>
    <s v="ORD200108"/>
    <x v="103"/>
    <s v="C33099"/>
    <x v="5"/>
    <n v="5"/>
    <n v="48.38"/>
    <s v="522 Main St"/>
    <x v="3"/>
    <x v="3"/>
    <s v="TRK28522330"/>
    <n v="9"/>
    <s v="WINTER15"/>
    <x v="2"/>
    <x v="108"/>
  </r>
  <r>
    <s v="ORD200109"/>
    <x v="104"/>
    <s v="C51157"/>
    <x v="6"/>
    <n v="3"/>
    <n v="592.87"/>
    <s v="131 Main St"/>
    <x v="3"/>
    <x v="0"/>
    <s v="TRK18674578"/>
    <n v="3"/>
    <s v="FREESHIP"/>
    <x v="1"/>
    <x v="109"/>
  </r>
  <r>
    <s v="ORD200110"/>
    <x v="105"/>
    <s v="C74562"/>
    <x v="2"/>
    <n v="1"/>
    <n v="220.77"/>
    <s v="388 Main St"/>
    <x v="3"/>
    <x v="4"/>
    <s v="TRK32062079"/>
    <n v="5"/>
    <s v="FREESHIP"/>
    <x v="0"/>
    <x v="110"/>
  </r>
  <r>
    <s v="ORD200111"/>
    <x v="106"/>
    <s v="C95271"/>
    <x v="6"/>
    <n v="3"/>
    <n v="309.22000000000003"/>
    <s v="620 Main St"/>
    <x v="1"/>
    <x v="1"/>
    <s v="TRK74904969"/>
    <n v="7"/>
    <s v="FREESHIP"/>
    <x v="4"/>
    <x v="111"/>
  </r>
  <r>
    <s v="ORD200112"/>
    <x v="107"/>
    <s v="C81366"/>
    <x v="0"/>
    <n v="1"/>
    <n v="410.6"/>
    <s v="423 Main St"/>
    <x v="1"/>
    <x v="1"/>
    <s v="TRK17062206"/>
    <n v="2"/>
    <s v="WINTER15"/>
    <x v="1"/>
    <x v="112"/>
  </r>
  <r>
    <s v="ORD200113"/>
    <x v="108"/>
    <s v="C65905"/>
    <x v="5"/>
    <n v="5"/>
    <n v="190.08"/>
    <s v="605 Main St"/>
    <x v="4"/>
    <x v="0"/>
    <s v="TRK73954365"/>
    <n v="9"/>
    <s v="FREESHIP"/>
    <x v="0"/>
    <x v="113"/>
  </r>
  <r>
    <s v="ORD200114"/>
    <x v="109"/>
    <s v="C77272"/>
    <x v="0"/>
    <n v="5"/>
    <n v="498.48"/>
    <s v="115 Main St"/>
    <x v="1"/>
    <x v="4"/>
    <s v="TRK29708128"/>
    <n v="8"/>
    <s v="SAVE10"/>
    <x v="4"/>
    <x v="114"/>
  </r>
  <r>
    <s v="ORD200115"/>
    <x v="110"/>
    <s v="C32580"/>
    <x v="1"/>
    <n v="5"/>
    <n v="374.99"/>
    <s v="122 Main St"/>
    <x v="1"/>
    <x v="0"/>
    <s v="TRK23670394"/>
    <n v="9"/>
    <s v="SAVE10"/>
    <x v="3"/>
    <x v="115"/>
  </r>
  <r>
    <s v="ORD200116"/>
    <x v="111"/>
    <s v="C47761"/>
    <x v="4"/>
    <n v="4"/>
    <n v="291.35000000000002"/>
    <s v="109 Main St"/>
    <x v="2"/>
    <x v="1"/>
    <s v="TRK66669207"/>
    <n v="6"/>
    <s v="WINTER15"/>
    <x v="3"/>
    <x v="116"/>
  </r>
  <r>
    <s v="ORD200117"/>
    <x v="98"/>
    <s v="C49187"/>
    <x v="2"/>
    <n v="1"/>
    <n v="535.5"/>
    <s v="593 Main St"/>
    <x v="3"/>
    <x v="1"/>
    <s v="TRK81888598"/>
    <n v="5"/>
    <s v="WINTER15"/>
    <x v="1"/>
    <x v="117"/>
  </r>
  <r>
    <s v="ORD200118"/>
    <x v="112"/>
    <s v="C27898"/>
    <x v="4"/>
    <n v="5"/>
    <n v="502.71"/>
    <s v="807 Main St"/>
    <x v="3"/>
    <x v="0"/>
    <s v="TRK61957665"/>
    <n v="7"/>
    <s v="FREESHIP"/>
    <x v="4"/>
    <x v="118"/>
  </r>
  <r>
    <s v="ORD200119"/>
    <x v="113"/>
    <s v="C14683"/>
    <x v="6"/>
    <n v="2"/>
    <n v="534.66999999999996"/>
    <s v="187 Main St"/>
    <x v="0"/>
    <x v="0"/>
    <s v="TRK47373682"/>
    <n v="7"/>
    <s v="FREESHIP"/>
    <x v="1"/>
    <x v="119"/>
  </r>
  <r>
    <s v="ORD200120"/>
    <x v="114"/>
    <s v="C58108"/>
    <x v="2"/>
    <n v="4"/>
    <n v="629.34"/>
    <s v="986 Main St"/>
    <x v="4"/>
    <x v="1"/>
    <s v="TRK66218053"/>
    <n v="4"/>
    <s v="WINTER15"/>
    <x v="0"/>
    <x v="120"/>
  </r>
  <r>
    <s v="ORD200121"/>
    <x v="115"/>
    <s v="C89822"/>
    <x v="6"/>
    <n v="1"/>
    <n v="410.78"/>
    <s v="673 Main St"/>
    <x v="4"/>
    <x v="1"/>
    <s v="TRK24138598"/>
    <n v="1"/>
    <s v="FREESHIP"/>
    <x v="0"/>
    <x v="121"/>
  </r>
  <r>
    <s v="ORD200122"/>
    <x v="116"/>
    <s v="C96787"/>
    <x v="5"/>
    <n v="2"/>
    <n v="533.02"/>
    <s v="588 Main St"/>
    <x v="3"/>
    <x v="0"/>
    <s v="TRK30422853"/>
    <n v="2"/>
    <s v="No Coupon"/>
    <x v="3"/>
    <x v="122"/>
  </r>
  <r>
    <s v="ORD200123"/>
    <x v="117"/>
    <s v="C86064"/>
    <x v="6"/>
    <n v="3"/>
    <n v="278.04000000000002"/>
    <s v="727 Main St"/>
    <x v="1"/>
    <x v="3"/>
    <s v="TRK62182901"/>
    <n v="5"/>
    <s v="No Coupon"/>
    <x v="0"/>
    <x v="123"/>
  </r>
  <r>
    <s v="ORD200124"/>
    <x v="118"/>
    <s v="C97148"/>
    <x v="4"/>
    <n v="4"/>
    <n v="283.79000000000002"/>
    <s v="563 Main St"/>
    <x v="1"/>
    <x v="4"/>
    <s v="TRK85321126"/>
    <n v="8"/>
    <s v="No Coupon"/>
    <x v="4"/>
    <x v="124"/>
  </r>
  <r>
    <s v="ORD200125"/>
    <x v="119"/>
    <s v="C91099"/>
    <x v="1"/>
    <n v="2"/>
    <n v="512.65"/>
    <s v="758 Main St"/>
    <x v="2"/>
    <x v="0"/>
    <s v="TRK81846174"/>
    <n v="5"/>
    <s v="SAVE10"/>
    <x v="2"/>
    <x v="125"/>
  </r>
  <r>
    <s v="ORD200126"/>
    <x v="120"/>
    <s v="C55606"/>
    <x v="6"/>
    <n v="4"/>
    <n v="275.5"/>
    <s v="353 Main St"/>
    <x v="3"/>
    <x v="0"/>
    <s v="TRK68250319"/>
    <n v="8"/>
    <s v="FREESHIP"/>
    <x v="4"/>
    <x v="126"/>
  </r>
  <r>
    <s v="ORD200127"/>
    <x v="121"/>
    <s v="C71486"/>
    <x v="6"/>
    <n v="3"/>
    <n v="469.32"/>
    <s v="365 Main St"/>
    <x v="0"/>
    <x v="0"/>
    <s v="TRK73929833"/>
    <n v="3"/>
    <s v="No Coupon"/>
    <x v="4"/>
    <x v="127"/>
  </r>
  <r>
    <s v="ORD200128"/>
    <x v="96"/>
    <s v="C86408"/>
    <x v="2"/>
    <n v="4"/>
    <n v="21.07"/>
    <s v="244 Main St"/>
    <x v="3"/>
    <x v="3"/>
    <s v="TRK41432648"/>
    <n v="4"/>
    <s v="FREESHIP"/>
    <x v="4"/>
    <x v="128"/>
  </r>
  <r>
    <s v="ORD200129"/>
    <x v="122"/>
    <s v="C52751"/>
    <x v="5"/>
    <n v="4"/>
    <n v="263.93"/>
    <s v="427 Main St"/>
    <x v="0"/>
    <x v="0"/>
    <s v="TRK72481234"/>
    <n v="4"/>
    <s v="FREESHIP"/>
    <x v="3"/>
    <x v="129"/>
  </r>
  <r>
    <s v="ORD200130"/>
    <x v="123"/>
    <s v="C29059"/>
    <x v="6"/>
    <n v="3"/>
    <n v="501.3"/>
    <s v="513 Main St"/>
    <x v="1"/>
    <x v="1"/>
    <s v="TRK88360704"/>
    <n v="3"/>
    <s v="WINTER15"/>
    <x v="3"/>
    <x v="130"/>
  </r>
  <r>
    <s v="ORD200131"/>
    <x v="124"/>
    <s v="C72862"/>
    <x v="2"/>
    <n v="1"/>
    <n v="84.8"/>
    <s v="606 Main St"/>
    <x v="3"/>
    <x v="4"/>
    <s v="TRK51648833"/>
    <n v="5"/>
    <s v="No Coupon"/>
    <x v="0"/>
    <x v="131"/>
  </r>
  <r>
    <s v="ORD200132"/>
    <x v="125"/>
    <s v="C96257"/>
    <x v="2"/>
    <n v="4"/>
    <n v="450.75"/>
    <s v="583 Main St"/>
    <x v="2"/>
    <x v="0"/>
    <s v="TRK13137948"/>
    <n v="6"/>
    <s v="WINTER15"/>
    <x v="2"/>
    <x v="132"/>
  </r>
  <r>
    <s v="ORD200133"/>
    <x v="126"/>
    <s v="C87432"/>
    <x v="3"/>
    <n v="4"/>
    <n v="302.05"/>
    <s v="636 Main St"/>
    <x v="0"/>
    <x v="1"/>
    <s v="TRK68969625"/>
    <n v="6"/>
    <s v="SAVE10"/>
    <x v="4"/>
    <x v="133"/>
  </r>
  <r>
    <s v="ORD200134"/>
    <x v="127"/>
    <s v="C16253"/>
    <x v="5"/>
    <n v="2"/>
    <n v="199.7"/>
    <s v="583 Main St"/>
    <x v="4"/>
    <x v="4"/>
    <s v="TRK17354894"/>
    <n v="4"/>
    <s v="No Coupon"/>
    <x v="2"/>
    <x v="134"/>
  </r>
  <r>
    <s v="ORD200135"/>
    <x v="128"/>
    <s v="C79909"/>
    <x v="4"/>
    <n v="2"/>
    <n v="68.81"/>
    <s v="642 Main St"/>
    <x v="3"/>
    <x v="0"/>
    <s v="TRK86742257"/>
    <n v="5"/>
    <s v="SAVE10"/>
    <x v="1"/>
    <x v="135"/>
  </r>
  <r>
    <s v="ORD200136"/>
    <x v="129"/>
    <s v="C73370"/>
    <x v="5"/>
    <n v="1"/>
    <n v="44.35"/>
    <s v="595 Main St"/>
    <x v="3"/>
    <x v="1"/>
    <s v="TRK67820278"/>
    <n v="1"/>
    <s v="SAVE10"/>
    <x v="0"/>
    <x v="136"/>
  </r>
  <r>
    <s v="ORD200137"/>
    <x v="130"/>
    <s v="C50682"/>
    <x v="0"/>
    <n v="2"/>
    <n v="250.98"/>
    <s v="598 Main St"/>
    <x v="2"/>
    <x v="3"/>
    <s v="TRK12242337"/>
    <n v="5"/>
    <s v="No Coupon"/>
    <x v="4"/>
    <x v="137"/>
  </r>
  <r>
    <s v="ORD200138"/>
    <x v="131"/>
    <s v="C21905"/>
    <x v="2"/>
    <n v="1"/>
    <n v="298.06"/>
    <s v="478 Main St"/>
    <x v="0"/>
    <x v="4"/>
    <s v="TRK31863841"/>
    <n v="3"/>
    <s v="WINTER15"/>
    <x v="4"/>
    <x v="138"/>
  </r>
  <r>
    <s v="ORD200139"/>
    <x v="132"/>
    <s v="C61440"/>
    <x v="1"/>
    <n v="1"/>
    <n v="583.9"/>
    <s v="714 Main St"/>
    <x v="4"/>
    <x v="2"/>
    <s v="TRK33114521"/>
    <n v="1"/>
    <s v="No Coupon"/>
    <x v="2"/>
    <x v="139"/>
  </r>
  <r>
    <s v="ORD200140"/>
    <x v="133"/>
    <s v="C33110"/>
    <x v="3"/>
    <n v="3"/>
    <n v="528.14"/>
    <s v="388 Main St"/>
    <x v="1"/>
    <x v="3"/>
    <s v="TRK38624225"/>
    <n v="3"/>
    <s v="FREESHIP"/>
    <x v="2"/>
    <x v="140"/>
  </r>
  <r>
    <s v="ORD200141"/>
    <x v="134"/>
    <s v="C80004"/>
    <x v="4"/>
    <n v="3"/>
    <n v="684.14"/>
    <s v="151 Main St"/>
    <x v="4"/>
    <x v="1"/>
    <s v="TRK66230753"/>
    <n v="3"/>
    <s v="WINTER15"/>
    <x v="0"/>
    <x v="141"/>
  </r>
  <r>
    <s v="ORD200142"/>
    <x v="135"/>
    <s v="C86374"/>
    <x v="6"/>
    <n v="5"/>
    <n v="272.77"/>
    <s v="573 Main St"/>
    <x v="4"/>
    <x v="4"/>
    <s v="TRK79451491"/>
    <n v="7"/>
    <s v="WINTER15"/>
    <x v="2"/>
    <x v="142"/>
  </r>
  <r>
    <s v="ORD200143"/>
    <x v="136"/>
    <s v="C66521"/>
    <x v="3"/>
    <n v="4"/>
    <n v="400.07"/>
    <s v="933 Main St"/>
    <x v="1"/>
    <x v="0"/>
    <s v="TRK34654244"/>
    <n v="5"/>
    <s v="No Coupon"/>
    <x v="1"/>
    <x v="143"/>
  </r>
  <r>
    <s v="ORD200144"/>
    <x v="128"/>
    <s v="C63365"/>
    <x v="6"/>
    <n v="5"/>
    <n v="219.78"/>
    <s v="895 Main St"/>
    <x v="2"/>
    <x v="4"/>
    <s v="TRK80100887"/>
    <n v="8"/>
    <s v="No Coupon"/>
    <x v="3"/>
    <x v="144"/>
  </r>
  <r>
    <s v="ORD200145"/>
    <x v="17"/>
    <s v="C85929"/>
    <x v="4"/>
    <n v="3"/>
    <n v="146.91"/>
    <s v="798 Main St"/>
    <x v="2"/>
    <x v="3"/>
    <s v="TRK29318610"/>
    <n v="6"/>
    <s v="FREESHIP"/>
    <x v="4"/>
    <x v="145"/>
  </r>
  <r>
    <s v="ORD200146"/>
    <x v="137"/>
    <s v="C84645"/>
    <x v="2"/>
    <n v="2"/>
    <n v="411.49"/>
    <s v="404 Main St"/>
    <x v="2"/>
    <x v="2"/>
    <s v="TRK68893369"/>
    <n v="4"/>
    <s v="No Coupon"/>
    <x v="0"/>
    <x v="146"/>
  </r>
  <r>
    <s v="ORD200147"/>
    <x v="138"/>
    <s v="C46316"/>
    <x v="5"/>
    <n v="2"/>
    <n v="465.18"/>
    <s v="893 Main St"/>
    <x v="2"/>
    <x v="1"/>
    <s v="TRK16196000"/>
    <n v="2"/>
    <s v="SAVE10"/>
    <x v="4"/>
    <x v="147"/>
  </r>
  <r>
    <s v="ORD200148"/>
    <x v="139"/>
    <s v="C35100"/>
    <x v="1"/>
    <n v="2"/>
    <n v="319.91000000000003"/>
    <s v="139 Main St"/>
    <x v="2"/>
    <x v="1"/>
    <s v="TRK56853491"/>
    <n v="3"/>
    <s v="WINTER15"/>
    <x v="4"/>
    <x v="148"/>
  </r>
  <r>
    <s v="ORD200149"/>
    <x v="140"/>
    <s v="C39671"/>
    <x v="5"/>
    <n v="1"/>
    <n v="217.56"/>
    <s v="174 Main St"/>
    <x v="0"/>
    <x v="3"/>
    <s v="TRK47153818"/>
    <n v="3"/>
    <s v="No Coupon"/>
    <x v="3"/>
    <x v="149"/>
  </r>
  <r>
    <s v="ORD200150"/>
    <x v="141"/>
    <s v="C25503"/>
    <x v="1"/>
    <n v="2"/>
    <n v="105.57"/>
    <s v="981 Main St"/>
    <x v="0"/>
    <x v="2"/>
    <s v="TRK29878837"/>
    <n v="5"/>
    <s v="WINTER15"/>
    <x v="4"/>
    <x v="150"/>
  </r>
  <r>
    <s v="ORD200151"/>
    <x v="142"/>
    <s v="C32960"/>
    <x v="4"/>
    <n v="5"/>
    <n v="444.76"/>
    <s v="947 Main St"/>
    <x v="0"/>
    <x v="2"/>
    <s v="TRK91226500"/>
    <n v="7"/>
    <s v="No Coupon"/>
    <x v="2"/>
    <x v="151"/>
  </r>
  <r>
    <s v="ORD200152"/>
    <x v="143"/>
    <s v="C77736"/>
    <x v="3"/>
    <n v="2"/>
    <n v="399.04"/>
    <s v="659 Main St"/>
    <x v="4"/>
    <x v="1"/>
    <s v="TRK90329250"/>
    <n v="3"/>
    <s v="FREESHIP"/>
    <x v="1"/>
    <x v="152"/>
  </r>
  <r>
    <s v="ORD200153"/>
    <x v="144"/>
    <s v="C71570"/>
    <x v="3"/>
    <n v="4"/>
    <n v="534.48"/>
    <s v="437 Main St"/>
    <x v="1"/>
    <x v="2"/>
    <s v="TRK95992269"/>
    <n v="9"/>
    <s v="WINTER15"/>
    <x v="0"/>
    <x v="153"/>
  </r>
  <r>
    <s v="ORD200154"/>
    <x v="145"/>
    <s v="C73587"/>
    <x v="1"/>
    <n v="4"/>
    <n v="408.21"/>
    <s v="727 Main St"/>
    <x v="2"/>
    <x v="4"/>
    <s v="TRK13955543"/>
    <n v="9"/>
    <s v="No Coupon"/>
    <x v="0"/>
    <x v="154"/>
  </r>
  <r>
    <s v="ORD200155"/>
    <x v="146"/>
    <s v="C62740"/>
    <x v="1"/>
    <n v="1"/>
    <n v="424.4"/>
    <s v="446 Main St"/>
    <x v="1"/>
    <x v="0"/>
    <s v="TRK20706408"/>
    <n v="6"/>
    <s v="WINTER15"/>
    <x v="1"/>
    <x v="155"/>
  </r>
  <r>
    <s v="ORD200156"/>
    <x v="147"/>
    <s v="C58808"/>
    <x v="3"/>
    <n v="2"/>
    <n v="269.83"/>
    <s v="651 Main St"/>
    <x v="1"/>
    <x v="3"/>
    <s v="TRK24451893"/>
    <n v="4"/>
    <s v="SAVE10"/>
    <x v="2"/>
    <x v="156"/>
  </r>
  <r>
    <s v="ORD200157"/>
    <x v="148"/>
    <s v="C50422"/>
    <x v="0"/>
    <n v="2"/>
    <n v="564.58000000000004"/>
    <s v="636 Main St"/>
    <x v="1"/>
    <x v="2"/>
    <s v="TRK71227815"/>
    <n v="4"/>
    <s v="WINTER15"/>
    <x v="3"/>
    <x v="157"/>
  </r>
  <r>
    <s v="ORD200158"/>
    <x v="149"/>
    <s v="C23334"/>
    <x v="2"/>
    <n v="1"/>
    <n v="331.06"/>
    <s v="737 Main St"/>
    <x v="2"/>
    <x v="4"/>
    <s v="TRK46335144"/>
    <n v="5"/>
    <s v="WINTER15"/>
    <x v="0"/>
    <x v="158"/>
  </r>
  <r>
    <s v="ORD200159"/>
    <x v="150"/>
    <s v="C48965"/>
    <x v="4"/>
    <n v="1"/>
    <n v="299.35000000000002"/>
    <s v="819 Main St"/>
    <x v="2"/>
    <x v="1"/>
    <s v="TRK50921780"/>
    <n v="5"/>
    <s v="WINTER15"/>
    <x v="2"/>
    <x v="159"/>
  </r>
  <r>
    <s v="ORD200160"/>
    <x v="96"/>
    <s v="C38669"/>
    <x v="0"/>
    <n v="4"/>
    <n v="101.32"/>
    <s v="240 Main St"/>
    <x v="4"/>
    <x v="4"/>
    <s v="TRK81738254"/>
    <n v="7"/>
    <s v="No Coupon"/>
    <x v="1"/>
    <x v="160"/>
  </r>
  <r>
    <s v="ORD200161"/>
    <x v="151"/>
    <s v="C35091"/>
    <x v="0"/>
    <n v="1"/>
    <n v="211.14"/>
    <s v="513 Main St"/>
    <x v="2"/>
    <x v="1"/>
    <s v="TRK53784452"/>
    <n v="1"/>
    <s v="SAVE10"/>
    <x v="3"/>
    <x v="150"/>
  </r>
  <r>
    <s v="ORD200162"/>
    <x v="152"/>
    <s v="C82313"/>
    <x v="3"/>
    <n v="3"/>
    <n v="65.86"/>
    <s v="917 Main St"/>
    <x v="1"/>
    <x v="4"/>
    <s v="TRK79854624"/>
    <n v="8"/>
    <s v="WINTER15"/>
    <x v="4"/>
    <x v="161"/>
  </r>
  <r>
    <s v="ORD200163"/>
    <x v="53"/>
    <s v="C99589"/>
    <x v="2"/>
    <n v="1"/>
    <n v="641.39"/>
    <s v="277 Main St"/>
    <x v="1"/>
    <x v="1"/>
    <s v="TRK16695001"/>
    <n v="1"/>
    <s v="No Coupon"/>
    <x v="1"/>
    <x v="162"/>
  </r>
  <r>
    <s v="ORD200164"/>
    <x v="153"/>
    <s v="C70566"/>
    <x v="6"/>
    <n v="5"/>
    <n v="536.58000000000004"/>
    <s v="667 Main St"/>
    <x v="3"/>
    <x v="4"/>
    <s v="TRK49673411"/>
    <n v="5"/>
    <s v="SAVE10"/>
    <x v="4"/>
    <x v="163"/>
  </r>
  <r>
    <s v="ORD200165"/>
    <x v="154"/>
    <s v="C60355"/>
    <x v="0"/>
    <n v="2"/>
    <n v="500.29"/>
    <s v="226 Main St"/>
    <x v="1"/>
    <x v="2"/>
    <s v="TRK30155194"/>
    <n v="7"/>
    <s v="WINTER15"/>
    <x v="4"/>
    <x v="164"/>
  </r>
  <r>
    <s v="ORD200166"/>
    <x v="155"/>
    <s v="C28889"/>
    <x v="3"/>
    <n v="3"/>
    <n v="86.29"/>
    <s v="565 Main St"/>
    <x v="4"/>
    <x v="3"/>
    <s v="TRK23791726"/>
    <n v="6"/>
    <s v="WINTER15"/>
    <x v="0"/>
    <x v="165"/>
  </r>
  <r>
    <s v="ORD200167"/>
    <x v="156"/>
    <s v="C88304"/>
    <x v="3"/>
    <n v="2"/>
    <n v="384.14"/>
    <s v="219 Main St"/>
    <x v="1"/>
    <x v="2"/>
    <s v="TRK44268941"/>
    <n v="2"/>
    <s v="WINTER15"/>
    <x v="2"/>
    <x v="166"/>
  </r>
  <r>
    <s v="ORD200168"/>
    <x v="157"/>
    <s v="C49517"/>
    <x v="4"/>
    <n v="1"/>
    <n v="594.96"/>
    <s v="878 Main St"/>
    <x v="4"/>
    <x v="2"/>
    <s v="TRK78551375"/>
    <n v="6"/>
    <s v="No Coupon"/>
    <x v="3"/>
    <x v="167"/>
  </r>
  <r>
    <s v="ORD200169"/>
    <x v="158"/>
    <s v="C35785"/>
    <x v="4"/>
    <n v="1"/>
    <n v="427.82"/>
    <s v="732 Main St"/>
    <x v="1"/>
    <x v="3"/>
    <s v="TRK78923089"/>
    <n v="2"/>
    <s v="WINTER15"/>
    <x v="2"/>
    <x v="168"/>
  </r>
  <r>
    <s v="ORD200170"/>
    <x v="159"/>
    <s v="C80223"/>
    <x v="6"/>
    <n v="4"/>
    <n v="662.94"/>
    <s v="535 Main St"/>
    <x v="4"/>
    <x v="1"/>
    <s v="TRK68632951"/>
    <n v="8"/>
    <s v="SAVE10"/>
    <x v="0"/>
    <x v="169"/>
  </r>
  <r>
    <s v="ORD200171"/>
    <x v="160"/>
    <s v="C20448"/>
    <x v="2"/>
    <n v="2"/>
    <n v="148.22"/>
    <s v="336 Main St"/>
    <x v="2"/>
    <x v="3"/>
    <s v="TRK67379895"/>
    <n v="7"/>
    <s v="WINTER15"/>
    <x v="0"/>
    <x v="170"/>
  </r>
  <r>
    <s v="ORD200172"/>
    <x v="161"/>
    <s v="C34134"/>
    <x v="4"/>
    <n v="1"/>
    <n v="254.12"/>
    <s v="365 Main St"/>
    <x v="1"/>
    <x v="3"/>
    <s v="TRK43074303"/>
    <n v="1"/>
    <s v="WINTER15"/>
    <x v="2"/>
    <x v="171"/>
  </r>
  <r>
    <s v="ORD200173"/>
    <x v="59"/>
    <s v="C95901"/>
    <x v="1"/>
    <n v="3"/>
    <n v="664.46"/>
    <s v="806 Main St"/>
    <x v="1"/>
    <x v="3"/>
    <s v="TRK56989066"/>
    <n v="4"/>
    <s v="FREESHIP"/>
    <x v="4"/>
    <x v="172"/>
  </r>
  <r>
    <s v="ORD200174"/>
    <x v="162"/>
    <s v="C51145"/>
    <x v="4"/>
    <n v="4"/>
    <n v="600.80999999999995"/>
    <s v="790 Main St"/>
    <x v="0"/>
    <x v="3"/>
    <s v="TRK59154274"/>
    <n v="9"/>
    <s v="SAVE10"/>
    <x v="2"/>
    <x v="173"/>
  </r>
  <r>
    <s v="ORD200175"/>
    <x v="163"/>
    <s v="C78170"/>
    <x v="3"/>
    <n v="5"/>
    <n v="68.34"/>
    <s v="332 Main St"/>
    <x v="0"/>
    <x v="4"/>
    <s v="TRK71410605"/>
    <n v="6"/>
    <s v="WINTER15"/>
    <x v="1"/>
    <x v="174"/>
  </r>
  <r>
    <s v="ORD200176"/>
    <x v="164"/>
    <s v="C80151"/>
    <x v="2"/>
    <n v="4"/>
    <n v="430.83"/>
    <s v="553 Main St"/>
    <x v="3"/>
    <x v="4"/>
    <s v="TRK88251529"/>
    <n v="8"/>
    <s v="WINTER15"/>
    <x v="1"/>
    <x v="175"/>
  </r>
  <r>
    <s v="ORD200177"/>
    <x v="165"/>
    <s v="C55632"/>
    <x v="3"/>
    <n v="5"/>
    <n v="431.69"/>
    <s v="354 Main St"/>
    <x v="2"/>
    <x v="4"/>
    <s v="TRK13003066"/>
    <n v="10"/>
    <s v="No Coupon"/>
    <x v="3"/>
    <x v="176"/>
  </r>
  <r>
    <s v="ORD200178"/>
    <x v="166"/>
    <s v="C53070"/>
    <x v="3"/>
    <n v="4"/>
    <n v="512.05999999999995"/>
    <s v="283 Main St"/>
    <x v="1"/>
    <x v="3"/>
    <s v="TRK49791755"/>
    <n v="5"/>
    <s v="SAVE10"/>
    <x v="4"/>
    <x v="177"/>
  </r>
  <r>
    <s v="ORD200179"/>
    <x v="167"/>
    <s v="C27401"/>
    <x v="5"/>
    <n v="3"/>
    <n v="539.91"/>
    <s v="500 Main St"/>
    <x v="2"/>
    <x v="3"/>
    <s v="TRK14332053"/>
    <n v="8"/>
    <s v="No Coupon"/>
    <x v="2"/>
    <x v="178"/>
  </r>
  <r>
    <s v="ORD200180"/>
    <x v="168"/>
    <s v="C87216"/>
    <x v="2"/>
    <n v="5"/>
    <n v="316.07"/>
    <s v="970 Main St"/>
    <x v="4"/>
    <x v="2"/>
    <s v="TRK18713727"/>
    <n v="10"/>
    <s v="No Coupon"/>
    <x v="4"/>
    <x v="179"/>
  </r>
  <r>
    <s v="ORD200181"/>
    <x v="169"/>
    <s v="C38966"/>
    <x v="4"/>
    <n v="5"/>
    <n v="404.39"/>
    <s v="247 Main St"/>
    <x v="1"/>
    <x v="0"/>
    <s v="TRK17205146"/>
    <n v="10"/>
    <s v="No Coupon"/>
    <x v="1"/>
    <x v="180"/>
  </r>
  <r>
    <s v="ORD200182"/>
    <x v="170"/>
    <s v="C16612"/>
    <x v="6"/>
    <n v="1"/>
    <n v="600.54"/>
    <s v="596 Main St"/>
    <x v="0"/>
    <x v="4"/>
    <s v="TRK96188223"/>
    <n v="4"/>
    <s v="WINTER15"/>
    <x v="4"/>
    <x v="181"/>
  </r>
  <r>
    <s v="ORD200183"/>
    <x v="171"/>
    <s v="C39246"/>
    <x v="0"/>
    <n v="5"/>
    <n v="186.28"/>
    <s v="258 Main St"/>
    <x v="0"/>
    <x v="3"/>
    <s v="TRK16658182"/>
    <n v="8"/>
    <s v="SAVE10"/>
    <x v="2"/>
    <x v="182"/>
  </r>
  <r>
    <s v="ORD200184"/>
    <x v="172"/>
    <s v="C65180"/>
    <x v="2"/>
    <n v="4"/>
    <n v="214.54"/>
    <s v="231 Main St"/>
    <x v="3"/>
    <x v="1"/>
    <s v="TRK39255469"/>
    <n v="7"/>
    <s v="No Coupon"/>
    <x v="1"/>
    <x v="183"/>
  </r>
  <r>
    <s v="ORD200185"/>
    <x v="61"/>
    <s v="C46877"/>
    <x v="5"/>
    <n v="1"/>
    <n v="210.7"/>
    <s v="572 Main St"/>
    <x v="1"/>
    <x v="0"/>
    <s v="TRK96935978"/>
    <n v="2"/>
    <s v="WINTER15"/>
    <x v="1"/>
    <x v="184"/>
  </r>
  <r>
    <s v="ORD200186"/>
    <x v="173"/>
    <s v="C30334"/>
    <x v="1"/>
    <n v="2"/>
    <n v="133.55000000000001"/>
    <s v="322 Main St"/>
    <x v="4"/>
    <x v="4"/>
    <s v="TRK66388885"/>
    <n v="7"/>
    <s v="FREESHIP"/>
    <x v="3"/>
    <x v="185"/>
  </r>
  <r>
    <s v="ORD200187"/>
    <x v="174"/>
    <s v="C21227"/>
    <x v="3"/>
    <n v="1"/>
    <n v="590.87"/>
    <s v="689 Main St"/>
    <x v="3"/>
    <x v="2"/>
    <s v="TRK79129657"/>
    <n v="6"/>
    <s v="FREESHIP"/>
    <x v="1"/>
    <x v="186"/>
  </r>
  <r>
    <s v="ORD200188"/>
    <x v="175"/>
    <s v="C97715"/>
    <x v="3"/>
    <n v="2"/>
    <n v="363.91"/>
    <s v="927 Main St"/>
    <x v="3"/>
    <x v="0"/>
    <s v="TRK19515949"/>
    <n v="2"/>
    <s v="FREESHIP"/>
    <x v="1"/>
    <x v="187"/>
  </r>
  <r>
    <s v="ORD200189"/>
    <x v="176"/>
    <s v="C48939"/>
    <x v="4"/>
    <n v="5"/>
    <n v="429.45"/>
    <s v="597 Main St"/>
    <x v="3"/>
    <x v="1"/>
    <s v="TRK62786764"/>
    <n v="5"/>
    <s v="WINTER15"/>
    <x v="2"/>
    <x v="188"/>
  </r>
  <r>
    <s v="ORD200190"/>
    <x v="169"/>
    <s v="C35483"/>
    <x v="4"/>
    <n v="3"/>
    <n v="223.7"/>
    <s v="725 Main St"/>
    <x v="4"/>
    <x v="2"/>
    <s v="TRK79638203"/>
    <n v="3"/>
    <s v="SAVE10"/>
    <x v="2"/>
    <x v="189"/>
  </r>
  <r>
    <s v="ORD200191"/>
    <x v="177"/>
    <s v="C51494"/>
    <x v="5"/>
    <n v="2"/>
    <n v="488.87"/>
    <s v="505 Main St"/>
    <x v="1"/>
    <x v="1"/>
    <s v="TRK58520306"/>
    <n v="4"/>
    <s v="FREESHIP"/>
    <x v="4"/>
    <x v="190"/>
  </r>
  <r>
    <s v="ORD200192"/>
    <x v="178"/>
    <s v="C58410"/>
    <x v="6"/>
    <n v="1"/>
    <n v="645.46"/>
    <s v="151 Main St"/>
    <x v="3"/>
    <x v="1"/>
    <s v="TRK19749672"/>
    <n v="5"/>
    <s v="SAVE10"/>
    <x v="4"/>
    <x v="191"/>
  </r>
  <r>
    <s v="ORD200193"/>
    <x v="179"/>
    <s v="C11644"/>
    <x v="4"/>
    <n v="1"/>
    <n v="46.66"/>
    <s v="429 Main St"/>
    <x v="4"/>
    <x v="1"/>
    <s v="TRK81320339"/>
    <n v="6"/>
    <s v="No Coupon"/>
    <x v="4"/>
    <x v="192"/>
  </r>
  <r>
    <s v="ORD200194"/>
    <x v="180"/>
    <s v="C53501"/>
    <x v="0"/>
    <n v="1"/>
    <n v="249.57"/>
    <s v="899 Main St"/>
    <x v="4"/>
    <x v="0"/>
    <s v="TRK90144892"/>
    <n v="3"/>
    <s v="FREESHIP"/>
    <x v="4"/>
    <x v="193"/>
  </r>
  <r>
    <s v="ORD200195"/>
    <x v="181"/>
    <s v="C63619"/>
    <x v="3"/>
    <n v="3"/>
    <n v="619.21"/>
    <s v="801 Main St"/>
    <x v="0"/>
    <x v="1"/>
    <s v="TRK65385674"/>
    <n v="6"/>
    <s v="No Coupon"/>
    <x v="2"/>
    <x v="194"/>
  </r>
  <r>
    <s v="ORD200196"/>
    <x v="182"/>
    <s v="C40882"/>
    <x v="6"/>
    <n v="4"/>
    <n v="217.13"/>
    <s v="719 Main St"/>
    <x v="4"/>
    <x v="3"/>
    <s v="TRK64165503"/>
    <n v="8"/>
    <s v="WINTER15"/>
    <x v="2"/>
    <x v="195"/>
  </r>
  <r>
    <s v="ORD200197"/>
    <x v="183"/>
    <s v="C80135"/>
    <x v="5"/>
    <n v="5"/>
    <n v="221.51"/>
    <s v="723 Main St"/>
    <x v="4"/>
    <x v="2"/>
    <s v="TRK95222269"/>
    <n v="5"/>
    <s v="WINTER15"/>
    <x v="1"/>
    <x v="196"/>
  </r>
  <r>
    <s v="ORD200198"/>
    <x v="184"/>
    <s v="C37594"/>
    <x v="5"/>
    <n v="4"/>
    <n v="340.3"/>
    <s v="926 Main St"/>
    <x v="4"/>
    <x v="1"/>
    <s v="TRK94405162"/>
    <n v="8"/>
    <s v="SAVE10"/>
    <x v="1"/>
    <x v="197"/>
  </r>
  <r>
    <s v="ORD200199"/>
    <x v="185"/>
    <s v="C87524"/>
    <x v="1"/>
    <n v="1"/>
    <n v="625"/>
    <s v="358 Main St"/>
    <x v="1"/>
    <x v="2"/>
    <s v="TRK21114341"/>
    <n v="5"/>
    <s v="WINTER15"/>
    <x v="4"/>
    <x v="198"/>
  </r>
  <r>
    <s v="ORD200200"/>
    <x v="186"/>
    <s v="C97681"/>
    <x v="2"/>
    <n v="5"/>
    <n v="433.26"/>
    <s v="895 Main St"/>
    <x v="2"/>
    <x v="3"/>
    <s v="TRK37531040"/>
    <n v="9"/>
    <s v="SAVE10"/>
    <x v="4"/>
    <x v="199"/>
  </r>
  <r>
    <s v="ORD200201"/>
    <x v="187"/>
    <s v="C10126"/>
    <x v="0"/>
    <n v="2"/>
    <n v="674.9"/>
    <s v="146 Main St"/>
    <x v="1"/>
    <x v="0"/>
    <s v="TRK75607531"/>
    <n v="4"/>
    <s v="SAVE10"/>
    <x v="3"/>
    <x v="200"/>
  </r>
  <r>
    <s v="ORD200202"/>
    <x v="188"/>
    <s v="C36938"/>
    <x v="0"/>
    <n v="3"/>
    <n v="253.98"/>
    <s v="636 Main St"/>
    <x v="2"/>
    <x v="1"/>
    <s v="TRK52522904"/>
    <n v="3"/>
    <s v="FREESHIP"/>
    <x v="2"/>
    <x v="201"/>
  </r>
  <r>
    <s v="ORD200203"/>
    <x v="94"/>
    <s v="C99173"/>
    <x v="4"/>
    <n v="3"/>
    <n v="356.84"/>
    <s v="172 Main St"/>
    <x v="1"/>
    <x v="0"/>
    <s v="TRK89849342"/>
    <n v="5"/>
    <s v="SAVE10"/>
    <x v="0"/>
    <x v="202"/>
  </r>
  <r>
    <s v="ORD200204"/>
    <x v="189"/>
    <s v="C99775"/>
    <x v="5"/>
    <n v="4"/>
    <n v="413.71"/>
    <s v="478 Main St"/>
    <x v="3"/>
    <x v="1"/>
    <s v="TRK21638425"/>
    <n v="9"/>
    <s v="FREESHIP"/>
    <x v="3"/>
    <x v="203"/>
  </r>
  <r>
    <s v="ORD200205"/>
    <x v="190"/>
    <s v="C19266"/>
    <x v="6"/>
    <n v="3"/>
    <n v="147.38999999999999"/>
    <s v="609 Main St"/>
    <x v="0"/>
    <x v="2"/>
    <s v="TRK58357269"/>
    <n v="3"/>
    <s v="No Coupon"/>
    <x v="2"/>
    <x v="204"/>
  </r>
  <r>
    <s v="ORD200206"/>
    <x v="162"/>
    <s v="C31072"/>
    <x v="5"/>
    <n v="4"/>
    <n v="229.1"/>
    <s v="729 Main St"/>
    <x v="3"/>
    <x v="2"/>
    <s v="TRK77172975"/>
    <n v="8"/>
    <s v="WINTER15"/>
    <x v="2"/>
    <x v="205"/>
  </r>
  <r>
    <s v="ORD200207"/>
    <x v="191"/>
    <s v="C54595"/>
    <x v="1"/>
    <n v="1"/>
    <n v="121.96"/>
    <s v="999 Main St"/>
    <x v="0"/>
    <x v="3"/>
    <s v="TRK44416659"/>
    <n v="3"/>
    <s v="No Coupon"/>
    <x v="4"/>
    <x v="206"/>
  </r>
  <r>
    <s v="ORD200208"/>
    <x v="192"/>
    <s v="C87777"/>
    <x v="6"/>
    <n v="2"/>
    <n v="408.32"/>
    <s v="597 Main St"/>
    <x v="1"/>
    <x v="0"/>
    <s v="TRK29003608"/>
    <n v="3"/>
    <s v="FREESHIP"/>
    <x v="3"/>
    <x v="207"/>
  </r>
  <r>
    <s v="ORD200209"/>
    <x v="193"/>
    <s v="C35854"/>
    <x v="2"/>
    <n v="5"/>
    <n v="187.97"/>
    <s v="706 Main St"/>
    <x v="4"/>
    <x v="2"/>
    <s v="TRK30615168"/>
    <n v="9"/>
    <s v="SAVE10"/>
    <x v="4"/>
    <x v="208"/>
  </r>
  <r>
    <s v="ORD200210"/>
    <x v="194"/>
    <s v="C93821"/>
    <x v="3"/>
    <n v="3"/>
    <n v="358.48"/>
    <s v="513 Main St"/>
    <x v="3"/>
    <x v="3"/>
    <s v="TRK10658539"/>
    <n v="7"/>
    <s v="FREESHIP"/>
    <x v="3"/>
    <x v="209"/>
  </r>
  <r>
    <s v="ORD200211"/>
    <x v="195"/>
    <s v="C54390"/>
    <x v="4"/>
    <n v="3"/>
    <n v="193.58"/>
    <s v="185 Main St"/>
    <x v="3"/>
    <x v="4"/>
    <s v="TRK83853742"/>
    <n v="7"/>
    <s v="FREESHIP"/>
    <x v="2"/>
    <x v="210"/>
  </r>
  <r>
    <s v="ORD200212"/>
    <x v="196"/>
    <s v="C53215"/>
    <x v="0"/>
    <n v="1"/>
    <n v="265.38"/>
    <s v="367 Main St"/>
    <x v="2"/>
    <x v="1"/>
    <s v="TRK34751835"/>
    <n v="6"/>
    <s v="WINTER15"/>
    <x v="2"/>
    <x v="211"/>
  </r>
  <r>
    <s v="ORD200213"/>
    <x v="197"/>
    <s v="C71122"/>
    <x v="5"/>
    <n v="1"/>
    <n v="634.4"/>
    <s v="317 Main St"/>
    <x v="4"/>
    <x v="1"/>
    <s v="TRK54757882"/>
    <n v="6"/>
    <s v="SAVE10"/>
    <x v="2"/>
    <x v="212"/>
  </r>
  <r>
    <s v="ORD200214"/>
    <x v="58"/>
    <s v="C29483"/>
    <x v="6"/>
    <n v="4"/>
    <n v="305.72000000000003"/>
    <s v="673 Main St"/>
    <x v="1"/>
    <x v="3"/>
    <s v="TRK89423603"/>
    <n v="5"/>
    <s v="No Coupon"/>
    <x v="3"/>
    <x v="213"/>
  </r>
  <r>
    <s v="ORD200215"/>
    <x v="121"/>
    <s v="C26767"/>
    <x v="4"/>
    <n v="1"/>
    <n v="303.60000000000002"/>
    <s v="432 Main St"/>
    <x v="4"/>
    <x v="0"/>
    <s v="TRK24585307"/>
    <n v="5"/>
    <s v="FREESHIP"/>
    <x v="3"/>
    <x v="214"/>
  </r>
  <r>
    <s v="ORD200216"/>
    <x v="198"/>
    <s v="C70492"/>
    <x v="0"/>
    <n v="4"/>
    <n v="496"/>
    <s v="811 Main St"/>
    <x v="1"/>
    <x v="1"/>
    <s v="TRK84625405"/>
    <n v="8"/>
    <s v="WINTER15"/>
    <x v="4"/>
    <x v="215"/>
  </r>
  <r>
    <s v="ORD200217"/>
    <x v="199"/>
    <s v="C61549"/>
    <x v="6"/>
    <n v="4"/>
    <n v="321.51"/>
    <s v="908 Main St"/>
    <x v="4"/>
    <x v="2"/>
    <s v="TRK65596914"/>
    <n v="9"/>
    <s v="No Coupon"/>
    <x v="4"/>
    <x v="216"/>
  </r>
  <r>
    <s v="ORD200218"/>
    <x v="200"/>
    <s v="C11665"/>
    <x v="2"/>
    <n v="3"/>
    <n v="112.46"/>
    <s v="882 Main St"/>
    <x v="3"/>
    <x v="0"/>
    <s v="TRK10993930"/>
    <n v="6"/>
    <s v="SAVE10"/>
    <x v="0"/>
    <x v="217"/>
  </r>
  <r>
    <s v="ORD200219"/>
    <x v="201"/>
    <s v="C48946"/>
    <x v="5"/>
    <n v="5"/>
    <n v="61.97"/>
    <s v="457 Main St"/>
    <x v="4"/>
    <x v="3"/>
    <s v="TRK99387220"/>
    <n v="6"/>
    <s v="SAVE10"/>
    <x v="2"/>
    <x v="218"/>
  </r>
  <r>
    <s v="ORD200220"/>
    <x v="202"/>
    <s v="C79506"/>
    <x v="5"/>
    <n v="2"/>
    <n v="373.17"/>
    <s v="497 Main St"/>
    <x v="2"/>
    <x v="4"/>
    <s v="TRK95188748"/>
    <n v="6"/>
    <s v="SAVE10"/>
    <x v="1"/>
    <x v="219"/>
  </r>
  <r>
    <s v="ORD200221"/>
    <x v="203"/>
    <s v="C93473"/>
    <x v="2"/>
    <n v="5"/>
    <n v="639.37"/>
    <s v="552 Main St"/>
    <x v="0"/>
    <x v="4"/>
    <s v="TRK50003989"/>
    <n v="6"/>
    <s v="SAVE10"/>
    <x v="4"/>
    <x v="220"/>
  </r>
  <r>
    <s v="ORD200222"/>
    <x v="204"/>
    <s v="C43124"/>
    <x v="3"/>
    <n v="4"/>
    <n v="693.36"/>
    <s v="931 Main St"/>
    <x v="1"/>
    <x v="0"/>
    <s v="TRK17293348"/>
    <n v="8"/>
    <s v="No Coupon"/>
    <x v="0"/>
    <x v="221"/>
  </r>
  <r>
    <s v="ORD200223"/>
    <x v="57"/>
    <s v="C22783"/>
    <x v="1"/>
    <n v="4"/>
    <n v="692.91"/>
    <s v="673 Main St"/>
    <x v="2"/>
    <x v="4"/>
    <s v="TRK55009149"/>
    <n v="9"/>
    <s v="SAVE10"/>
    <x v="0"/>
    <x v="222"/>
  </r>
  <r>
    <s v="ORD200224"/>
    <x v="205"/>
    <s v="C18567"/>
    <x v="4"/>
    <n v="4"/>
    <n v="91.46"/>
    <s v="507 Main St"/>
    <x v="4"/>
    <x v="1"/>
    <s v="TRK17554673"/>
    <n v="9"/>
    <s v="SAVE10"/>
    <x v="1"/>
    <x v="223"/>
  </r>
  <r>
    <s v="ORD200225"/>
    <x v="206"/>
    <s v="C99879"/>
    <x v="1"/>
    <n v="3"/>
    <n v="273.95999999999998"/>
    <s v="692 Main St"/>
    <x v="0"/>
    <x v="2"/>
    <s v="TRK50246700"/>
    <n v="8"/>
    <s v="SAVE10"/>
    <x v="4"/>
    <x v="224"/>
  </r>
  <r>
    <s v="ORD200226"/>
    <x v="207"/>
    <s v="C31501"/>
    <x v="6"/>
    <n v="3"/>
    <n v="588.04999999999995"/>
    <s v="242 Main St"/>
    <x v="3"/>
    <x v="3"/>
    <s v="TRK93063929"/>
    <n v="8"/>
    <s v="No Coupon"/>
    <x v="0"/>
    <x v="225"/>
  </r>
  <r>
    <s v="ORD200227"/>
    <x v="208"/>
    <s v="C93220"/>
    <x v="0"/>
    <n v="2"/>
    <n v="365.17"/>
    <s v="353 Main St"/>
    <x v="1"/>
    <x v="1"/>
    <s v="TRK89023251"/>
    <n v="4"/>
    <s v="FREESHIP"/>
    <x v="3"/>
    <x v="226"/>
  </r>
  <r>
    <s v="ORD200228"/>
    <x v="209"/>
    <s v="C57867"/>
    <x v="3"/>
    <n v="4"/>
    <n v="385.92"/>
    <s v="579 Main St"/>
    <x v="2"/>
    <x v="1"/>
    <s v="TRK92055007"/>
    <n v="8"/>
    <s v="No Coupon"/>
    <x v="0"/>
    <x v="227"/>
  </r>
  <r>
    <s v="ORD200229"/>
    <x v="210"/>
    <s v="C62622"/>
    <x v="2"/>
    <n v="1"/>
    <n v="562.61"/>
    <s v="762 Main St"/>
    <x v="2"/>
    <x v="3"/>
    <s v="TRK70997648"/>
    <n v="3"/>
    <s v="WINTER15"/>
    <x v="3"/>
    <x v="228"/>
  </r>
  <r>
    <s v="ORD200230"/>
    <x v="211"/>
    <s v="C94595"/>
    <x v="6"/>
    <n v="4"/>
    <n v="61.91"/>
    <s v="948 Main St"/>
    <x v="3"/>
    <x v="3"/>
    <s v="TRK24497305"/>
    <n v="6"/>
    <s v="WINTER15"/>
    <x v="2"/>
    <x v="229"/>
  </r>
  <r>
    <s v="ORD200231"/>
    <x v="212"/>
    <s v="C30955"/>
    <x v="1"/>
    <n v="4"/>
    <n v="41.9"/>
    <s v="327 Main St"/>
    <x v="3"/>
    <x v="4"/>
    <s v="TRK46898848"/>
    <n v="9"/>
    <s v="FREESHIP"/>
    <x v="0"/>
    <x v="230"/>
  </r>
  <r>
    <s v="ORD200232"/>
    <x v="213"/>
    <s v="C20731"/>
    <x v="4"/>
    <n v="4"/>
    <n v="444.44"/>
    <s v="610 Main St"/>
    <x v="0"/>
    <x v="1"/>
    <s v="TRK75568437"/>
    <n v="8"/>
    <s v="WINTER15"/>
    <x v="4"/>
    <x v="231"/>
  </r>
  <r>
    <s v="ORD200233"/>
    <x v="214"/>
    <s v="C30168"/>
    <x v="1"/>
    <n v="3"/>
    <n v="311.33"/>
    <s v="146 Main St"/>
    <x v="4"/>
    <x v="1"/>
    <s v="TRK73699939"/>
    <n v="3"/>
    <s v="WINTER15"/>
    <x v="0"/>
    <x v="232"/>
  </r>
  <r>
    <s v="ORD200234"/>
    <x v="130"/>
    <s v="C79842"/>
    <x v="4"/>
    <n v="4"/>
    <n v="236.41"/>
    <s v="337 Main St"/>
    <x v="0"/>
    <x v="4"/>
    <s v="TRK26957950"/>
    <n v="7"/>
    <s v="SAVE10"/>
    <x v="4"/>
    <x v="233"/>
  </r>
  <r>
    <s v="ORD200235"/>
    <x v="215"/>
    <s v="C32854"/>
    <x v="6"/>
    <n v="1"/>
    <n v="65.45"/>
    <s v="815 Main St"/>
    <x v="4"/>
    <x v="4"/>
    <s v="TRK30009218"/>
    <n v="2"/>
    <s v="WINTER15"/>
    <x v="4"/>
    <x v="234"/>
  </r>
  <r>
    <s v="ORD200236"/>
    <x v="107"/>
    <s v="C14847"/>
    <x v="0"/>
    <n v="1"/>
    <n v="318.81"/>
    <s v="562 Main St"/>
    <x v="0"/>
    <x v="4"/>
    <s v="TRK39663243"/>
    <n v="3"/>
    <s v="WINTER15"/>
    <x v="2"/>
    <x v="235"/>
  </r>
  <r>
    <s v="ORD200237"/>
    <x v="216"/>
    <s v="C88645"/>
    <x v="0"/>
    <n v="3"/>
    <n v="583.72"/>
    <s v="783 Main St"/>
    <x v="2"/>
    <x v="0"/>
    <s v="TRK74097570"/>
    <n v="5"/>
    <s v="FREESHIP"/>
    <x v="3"/>
    <x v="236"/>
  </r>
  <r>
    <s v="ORD200238"/>
    <x v="217"/>
    <s v="C66149"/>
    <x v="6"/>
    <n v="4"/>
    <n v="384.32"/>
    <s v="770 Main St"/>
    <x v="2"/>
    <x v="4"/>
    <s v="TRK76307307"/>
    <n v="6"/>
    <s v="WINTER15"/>
    <x v="4"/>
    <x v="237"/>
  </r>
  <r>
    <s v="ORD200239"/>
    <x v="218"/>
    <s v="C20256"/>
    <x v="2"/>
    <n v="3"/>
    <n v="538.74"/>
    <s v="456 Main St"/>
    <x v="1"/>
    <x v="0"/>
    <s v="TRK71127943"/>
    <n v="6"/>
    <s v="FREESHIP"/>
    <x v="2"/>
    <x v="238"/>
  </r>
  <r>
    <s v="ORD200240"/>
    <x v="219"/>
    <s v="C14983"/>
    <x v="2"/>
    <n v="1"/>
    <n v="17.239999999999998"/>
    <s v="255 Main St"/>
    <x v="1"/>
    <x v="4"/>
    <s v="TRK93444157"/>
    <n v="2"/>
    <s v="FREESHIP"/>
    <x v="0"/>
    <x v="239"/>
  </r>
  <r>
    <s v="ORD200241"/>
    <x v="220"/>
    <s v="C20817"/>
    <x v="3"/>
    <n v="5"/>
    <n v="615.66999999999996"/>
    <s v="407 Main St"/>
    <x v="1"/>
    <x v="4"/>
    <s v="TRK44164590"/>
    <n v="6"/>
    <s v="SAVE10"/>
    <x v="2"/>
    <x v="240"/>
  </r>
  <r>
    <s v="ORD200242"/>
    <x v="221"/>
    <s v="C94921"/>
    <x v="4"/>
    <n v="2"/>
    <n v="219.1"/>
    <s v="134 Main St"/>
    <x v="1"/>
    <x v="4"/>
    <s v="TRK97794327"/>
    <n v="4"/>
    <s v="SAVE10"/>
    <x v="1"/>
    <x v="241"/>
  </r>
  <r>
    <s v="ORD200243"/>
    <x v="222"/>
    <s v="C54725"/>
    <x v="3"/>
    <n v="2"/>
    <n v="144.66"/>
    <s v="506 Main St"/>
    <x v="1"/>
    <x v="1"/>
    <s v="TRK30601940"/>
    <n v="7"/>
    <s v="FREESHIP"/>
    <x v="4"/>
    <x v="242"/>
  </r>
  <r>
    <s v="ORD200244"/>
    <x v="223"/>
    <s v="C98096"/>
    <x v="6"/>
    <n v="2"/>
    <n v="317.77"/>
    <s v="838 Main St"/>
    <x v="0"/>
    <x v="1"/>
    <s v="TRK51518631"/>
    <n v="4"/>
    <s v="WINTER15"/>
    <x v="3"/>
    <x v="243"/>
  </r>
  <r>
    <s v="ORD200245"/>
    <x v="224"/>
    <s v="C12667"/>
    <x v="5"/>
    <n v="1"/>
    <n v="223.3"/>
    <s v="306 Main St"/>
    <x v="1"/>
    <x v="2"/>
    <s v="TRK25390491"/>
    <n v="1"/>
    <s v="No Coupon"/>
    <x v="3"/>
    <x v="244"/>
  </r>
  <r>
    <s v="ORD200246"/>
    <x v="225"/>
    <s v="C55354"/>
    <x v="6"/>
    <n v="2"/>
    <n v="342.11"/>
    <s v="164 Main St"/>
    <x v="3"/>
    <x v="0"/>
    <s v="TRK15439493"/>
    <n v="2"/>
    <s v="WINTER15"/>
    <x v="0"/>
    <x v="245"/>
  </r>
  <r>
    <s v="ORD200247"/>
    <x v="145"/>
    <s v="C14600"/>
    <x v="4"/>
    <n v="2"/>
    <n v="220.9"/>
    <s v="785 Main St"/>
    <x v="3"/>
    <x v="0"/>
    <s v="TRK84984764"/>
    <n v="4"/>
    <s v="No Coupon"/>
    <x v="2"/>
    <x v="246"/>
  </r>
  <r>
    <s v="ORD200248"/>
    <x v="226"/>
    <s v="C97187"/>
    <x v="5"/>
    <n v="1"/>
    <n v="670.54"/>
    <s v="471 Main St"/>
    <x v="4"/>
    <x v="0"/>
    <s v="TRK62283713"/>
    <n v="6"/>
    <s v="FREESHIP"/>
    <x v="1"/>
    <x v="247"/>
  </r>
  <r>
    <s v="ORD200249"/>
    <x v="227"/>
    <s v="C39106"/>
    <x v="4"/>
    <n v="1"/>
    <n v="546.19000000000005"/>
    <s v="245 Main St"/>
    <x v="4"/>
    <x v="4"/>
    <s v="TRK35464433"/>
    <n v="5"/>
    <s v="FREESHIP"/>
    <x v="1"/>
    <x v="248"/>
  </r>
  <r>
    <s v="ORD200250"/>
    <x v="228"/>
    <s v="C93379"/>
    <x v="6"/>
    <n v="3"/>
    <n v="42.95"/>
    <s v="318 Main St"/>
    <x v="3"/>
    <x v="2"/>
    <s v="TRK67954150"/>
    <n v="8"/>
    <s v="SAVE10"/>
    <x v="2"/>
    <x v="249"/>
  </r>
  <r>
    <s v="ORD200251"/>
    <x v="229"/>
    <s v="C93175"/>
    <x v="0"/>
    <n v="4"/>
    <n v="14.69"/>
    <s v="814 Main St"/>
    <x v="4"/>
    <x v="1"/>
    <s v="TRK32995144"/>
    <n v="9"/>
    <s v="No Coupon"/>
    <x v="2"/>
    <x v="250"/>
  </r>
  <r>
    <s v="ORD200252"/>
    <x v="28"/>
    <s v="C19648"/>
    <x v="1"/>
    <n v="4"/>
    <n v="668.36"/>
    <s v="821 Main St"/>
    <x v="3"/>
    <x v="1"/>
    <s v="TRK51297879"/>
    <n v="5"/>
    <s v="FREESHIP"/>
    <x v="3"/>
    <x v="251"/>
  </r>
  <r>
    <s v="ORD200253"/>
    <x v="230"/>
    <s v="C14891"/>
    <x v="3"/>
    <n v="4"/>
    <n v="413.74"/>
    <s v="743 Main St"/>
    <x v="3"/>
    <x v="2"/>
    <s v="TRK79471534"/>
    <n v="7"/>
    <s v="FREESHIP"/>
    <x v="0"/>
    <x v="252"/>
  </r>
  <r>
    <s v="ORD200254"/>
    <x v="231"/>
    <s v="C10866"/>
    <x v="0"/>
    <n v="3"/>
    <n v="263.19"/>
    <s v="770 Main St"/>
    <x v="1"/>
    <x v="3"/>
    <s v="TRK34809583"/>
    <n v="5"/>
    <s v="No Coupon"/>
    <x v="0"/>
    <x v="253"/>
  </r>
  <r>
    <s v="ORD200255"/>
    <x v="232"/>
    <s v="C47283"/>
    <x v="0"/>
    <n v="1"/>
    <n v="263.95999999999998"/>
    <s v="806 Main St"/>
    <x v="3"/>
    <x v="2"/>
    <s v="TRK56235117"/>
    <n v="2"/>
    <s v="SAVE10"/>
    <x v="4"/>
    <x v="254"/>
  </r>
  <r>
    <s v="ORD200256"/>
    <x v="233"/>
    <s v="C94323"/>
    <x v="3"/>
    <n v="5"/>
    <n v="75.81"/>
    <s v="463 Main St"/>
    <x v="3"/>
    <x v="2"/>
    <s v="TRK22663277"/>
    <n v="10"/>
    <s v="WINTER15"/>
    <x v="0"/>
    <x v="255"/>
  </r>
  <r>
    <s v="ORD200257"/>
    <x v="234"/>
    <s v="C89732"/>
    <x v="1"/>
    <n v="1"/>
    <n v="406.22"/>
    <s v="712 Main St"/>
    <x v="2"/>
    <x v="1"/>
    <s v="TRK41059233"/>
    <n v="5"/>
    <s v="SAVE10"/>
    <x v="1"/>
    <x v="256"/>
  </r>
  <r>
    <s v="ORD200258"/>
    <x v="235"/>
    <s v="C87764"/>
    <x v="2"/>
    <n v="2"/>
    <n v="103.41"/>
    <s v="294 Main St"/>
    <x v="1"/>
    <x v="0"/>
    <s v="TRK94082469"/>
    <n v="2"/>
    <s v="FREESHIP"/>
    <x v="1"/>
    <x v="257"/>
  </r>
  <r>
    <s v="ORD200259"/>
    <x v="236"/>
    <s v="C20977"/>
    <x v="3"/>
    <n v="4"/>
    <n v="435.12"/>
    <s v="636 Main St"/>
    <x v="2"/>
    <x v="3"/>
    <s v="TRK54991561"/>
    <n v="9"/>
    <s v="SAVE10"/>
    <x v="0"/>
    <x v="258"/>
  </r>
  <r>
    <s v="ORD200260"/>
    <x v="209"/>
    <s v="C12245"/>
    <x v="0"/>
    <n v="2"/>
    <n v="407.79"/>
    <s v="153 Main St"/>
    <x v="0"/>
    <x v="0"/>
    <s v="TRK22000463"/>
    <n v="3"/>
    <s v="No Coupon"/>
    <x v="4"/>
    <x v="259"/>
  </r>
  <r>
    <s v="ORD200261"/>
    <x v="237"/>
    <s v="C68976"/>
    <x v="1"/>
    <n v="5"/>
    <n v="173.65"/>
    <s v="460 Main St"/>
    <x v="3"/>
    <x v="3"/>
    <s v="TRK25491356"/>
    <n v="9"/>
    <s v="SAVE10"/>
    <x v="2"/>
    <x v="260"/>
  </r>
  <r>
    <s v="ORD200262"/>
    <x v="238"/>
    <s v="C69476"/>
    <x v="1"/>
    <n v="4"/>
    <n v="249.07"/>
    <s v="642 Main St"/>
    <x v="2"/>
    <x v="2"/>
    <s v="TRK65869386"/>
    <n v="5"/>
    <s v="WINTER15"/>
    <x v="1"/>
    <x v="261"/>
  </r>
  <r>
    <s v="ORD200263"/>
    <x v="239"/>
    <s v="C71040"/>
    <x v="1"/>
    <n v="4"/>
    <n v="434.85"/>
    <s v="250 Main St"/>
    <x v="2"/>
    <x v="4"/>
    <s v="TRK41397604"/>
    <n v="4"/>
    <s v="WINTER15"/>
    <x v="4"/>
    <x v="262"/>
  </r>
  <r>
    <s v="ORD200264"/>
    <x v="240"/>
    <s v="C71035"/>
    <x v="2"/>
    <n v="1"/>
    <n v="436.77"/>
    <s v="977 Main St"/>
    <x v="4"/>
    <x v="2"/>
    <s v="TRK19599578"/>
    <n v="5"/>
    <s v="FREESHIP"/>
    <x v="4"/>
    <x v="263"/>
  </r>
  <r>
    <s v="ORD200265"/>
    <x v="241"/>
    <s v="C20752"/>
    <x v="4"/>
    <n v="1"/>
    <n v="572.13"/>
    <s v="150 Main St"/>
    <x v="0"/>
    <x v="1"/>
    <s v="TRK22298450"/>
    <n v="4"/>
    <s v="SAVE10"/>
    <x v="4"/>
    <x v="264"/>
  </r>
  <r>
    <s v="ORD200266"/>
    <x v="180"/>
    <s v="C38840"/>
    <x v="3"/>
    <n v="4"/>
    <n v="583.07000000000005"/>
    <s v="589 Main St"/>
    <x v="2"/>
    <x v="1"/>
    <s v="TRK48484633"/>
    <n v="6"/>
    <s v="FREESHIP"/>
    <x v="1"/>
    <x v="265"/>
  </r>
  <r>
    <s v="ORD200267"/>
    <x v="242"/>
    <s v="C84480"/>
    <x v="3"/>
    <n v="5"/>
    <n v="468.51"/>
    <s v="803 Main St"/>
    <x v="0"/>
    <x v="3"/>
    <s v="TRK62361867"/>
    <n v="9"/>
    <s v="No Coupon"/>
    <x v="3"/>
    <x v="266"/>
  </r>
  <r>
    <s v="ORD200268"/>
    <x v="178"/>
    <s v="C37032"/>
    <x v="1"/>
    <n v="2"/>
    <n v="423.88"/>
    <s v="655 Main St"/>
    <x v="0"/>
    <x v="3"/>
    <s v="TRK48639226"/>
    <n v="7"/>
    <s v="SAVE10"/>
    <x v="1"/>
    <x v="267"/>
  </r>
  <r>
    <s v="ORD200269"/>
    <x v="97"/>
    <s v="C48942"/>
    <x v="2"/>
    <n v="4"/>
    <n v="663.67"/>
    <s v="129 Main St"/>
    <x v="2"/>
    <x v="4"/>
    <s v="TRK29355120"/>
    <n v="7"/>
    <s v="FREESHIP"/>
    <x v="4"/>
    <x v="268"/>
  </r>
  <r>
    <s v="ORD200270"/>
    <x v="243"/>
    <s v="C13540"/>
    <x v="4"/>
    <n v="4"/>
    <n v="309.91000000000003"/>
    <s v="127 Main St"/>
    <x v="0"/>
    <x v="0"/>
    <s v="TRK81087373"/>
    <n v="5"/>
    <s v="WINTER15"/>
    <x v="4"/>
    <x v="269"/>
  </r>
  <r>
    <s v="ORD200271"/>
    <x v="125"/>
    <s v="C59572"/>
    <x v="0"/>
    <n v="1"/>
    <n v="542.07000000000005"/>
    <s v="791 Main St"/>
    <x v="4"/>
    <x v="0"/>
    <s v="TRK16792991"/>
    <n v="6"/>
    <s v="WINTER15"/>
    <x v="1"/>
    <x v="270"/>
  </r>
  <r>
    <s v="ORD200272"/>
    <x v="244"/>
    <s v="C29758"/>
    <x v="3"/>
    <n v="2"/>
    <n v="399.32"/>
    <s v="119 Main St"/>
    <x v="1"/>
    <x v="4"/>
    <s v="TRK12990043"/>
    <n v="6"/>
    <s v="WINTER15"/>
    <x v="0"/>
    <x v="271"/>
  </r>
  <r>
    <s v="ORD200273"/>
    <x v="245"/>
    <s v="C11849"/>
    <x v="2"/>
    <n v="2"/>
    <n v="238.25"/>
    <s v="974 Main St"/>
    <x v="1"/>
    <x v="1"/>
    <s v="TRK91195261"/>
    <n v="7"/>
    <s v="FREESHIP"/>
    <x v="2"/>
    <x v="272"/>
  </r>
  <r>
    <s v="ORD200274"/>
    <x v="246"/>
    <s v="C50967"/>
    <x v="1"/>
    <n v="2"/>
    <n v="182.4"/>
    <s v="884 Main St"/>
    <x v="3"/>
    <x v="1"/>
    <s v="TRK65300814"/>
    <n v="5"/>
    <s v="SAVE10"/>
    <x v="1"/>
    <x v="273"/>
  </r>
  <r>
    <s v="ORD200275"/>
    <x v="247"/>
    <s v="C80735"/>
    <x v="3"/>
    <n v="2"/>
    <n v="65.069999999999993"/>
    <s v="360 Main St"/>
    <x v="2"/>
    <x v="1"/>
    <s v="TRK99880231"/>
    <n v="4"/>
    <s v="SAVE10"/>
    <x v="4"/>
    <x v="274"/>
  </r>
  <r>
    <s v="ORD200276"/>
    <x v="248"/>
    <s v="C99050"/>
    <x v="4"/>
    <n v="2"/>
    <n v="600.57000000000005"/>
    <s v="654 Main St"/>
    <x v="0"/>
    <x v="2"/>
    <s v="TRK56927089"/>
    <n v="3"/>
    <s v="WINTER15"/>
    <x v="0"/>
    <x v="275"/>
  </r>
  <r>
    <s v="ORD200277"/>
    <x v="82"/>
    <s v="C11210"/>
    <x v="3"/>
    <n v="5"/>
    <n v="90.92"/>
    <s v="910 Main St"/>
    <x v="2"/>
    <x v="3"/>
    <s v="TRK44929965"/>
    <n v="9"/>
    <s v="SAVE10"/>
    <x v="3"/>
    <x v="276"/>
  </r>
  <r>
    <s v="ORD200278"/>
    <x v="249"/>
    <s v="C46015"/>
    <x v="5"/>
    <n v="5"/>
    <n v="362.46"/>
    <s v="299 Main St"/>
    <x v="4"/>
    <x v="3"/>
    <s v="TRK46598430"/>
    <n v="6"/>
    <s v="FREESHIP"/>
    <x v="0"/>
    <x v="277"/>
  </r>
  <r>
    <s v="ORD200279"/>
    <x v="250"/>
    <s v="C69167"/>
    <x v="3"/>
    <n v="3"/>
    <n v="55.01"/>
    <s v="263 Main St"/>
    <x v="1"/>
    <x v="4"/>
    <s v="TRK12425655"/>
    <n v="7"/>
    <s v="WINTER15"/>
    <x v="2"/>
    <x v="278"/>
  </r>
  <r>
    <s v="ORD200280"/>
    <x v="14"/>
    <s v="C55388"/>
    <x v="2"/>
    <n v="3"/>
    <n v="404.62"/>
    <s v="740 Main St"/>
    <x v="3"/>
    <x v="3"/>
    <s v="TRK75741001"/>
    <n v="6"/>
    <s v="FREESHIP"/>
    <x v="0"/>
    <x v="279"/>
  </r>
  <r>
    <s v="ORD200281"/>
    <x v="152"/>
    <s v="C87181"/>
    <x v="6"/>
    <n v="4"/>
    <n v="654.79"/>
    <s v="195 Main St"/>
    <x v="4"/>
    <x v="4"/>
    <s v="TRK60093390"/>
    <n v="9"/>
    <s v="No Coupon"/>
    <x v="1"/>
    <x v="280"/>
  </r>
  <r>
    <s v="ORD200282"/>
    <x v="251"/>
    <s v="C30411"/>
    <x v="4"/>
    <n v="4"/>
    <n v="637.79"/>
    <s v="375 Main St"/>
    <x v="3"/>
    <x v="1"/>
    <s v="TRK71810536"/>
    <n v="9"/>
    <s v="FREESHIP"/>
    <x v="4"/>
    <x v="281"/>
  </r>
  <r>
    <s v="ORD200283"/>
    <x v="252"/>
    <s v="C39638"/>
    <x v="5"/>
    <n v="4"/>
    <n v="540.33000000000004"/>
    <s v="990 Main St"/>
    <x v="4"/>
    <x v="0"/>
    <s v="TRK69745608"/>
    <n v="6"/>
    <s v="No Coupon"/>
    <x v="4"/>
    <x v="282"/>
  </r>
  <r>
    <s v="ORD200284"/>
    <x v="223"/>
    <s v="C27203"/>
    <x v="5"/>
    <n v="5"/>
    <n v="208.17"/>
    <s v="516 Main St"/>
    <x v="2"/>
    <x v="2"/>
    <s v="TRK22023906"/>
    <n v="6"/>
    <s v="SAVE10"/>
    <x v="3"/>
    <x v="283"/>
  </r>
  <r>
    <s v="ORD200285"/>
    <x v="69"/>
    <s v="C67583"/>
    <x v="1"/>
    <n v="1"/>
    <n v="338.31"/>
    <s v="974 Main St"/>
    <x v="1"/>
    <x v="3"/>
    <s v="TRK93281700"/>
    <n v="3"/>
    <s v="No Coupon"/>
    <x v="4"/>
    <x v="284"/>
  </r>
  <r>
    <s v="ORD200286"/>
    <x v="253"/>
    <s v="C70554"/>
    <x v="0"/>
    <n v="3"/>
    <n v="139.44999999999999"/>
    <s v="187 Main St"/>
    <x v="3"/>
    <x v="2"/>
    <s v="TRK61086952"/>
    <n v="8"/>
    <s v="WINTER15"/>
    <x v="4"/>
    <x v="285"/>
  </r>
  <r>
    <s v="ORD200287"/>
    <x v="254"/>
    <s v="C70437"/>
    <x v="3"/>
    <n v="4"/>
    <n v="655.17999999999995"/>
    <s v="630 Main St"/>
    <x v="1"/>
    <x v="0"/>
    <s v="TRK26628830"/>
    <n v="5"/>
    <s v="No Coupon"/>
    <x v="3"/>
    <x v="286"/>
  </r>
  <r>
    <s v="ORD200288"/>
    <x v="255"/>
    <s v="C97643"/>
    <x v="5"/>
    <n v="4"/>
    <n v="512.75"/>
    <s v="537 Main St"/>
    <x v="0"/>
    <x v="2"/>
    <s v="TRK60831391"/>
    <n v="8"/>
    <s v="WINTER15"/>
    <x v="4"/>
    <x v="287"/>
  </r>
  <r>
    <s v="ORD200289"/>
    <x v="256"/>
    <s v="C17136"/>
    <x v="3"/>
    <n v="4"/>
    <n v="160.49"/>
    <s v="333 Main St"/>
    <x v="2"/>
    <x v="0"/>
    <s v="TRK55362541"/>
    <n v="8"/>
    <s v="WINTER15"/>
    <x v="1"/>
    <x v="288"/>
  </r>
  <r>
    <s v="ORD200290"/>
    <x v="257"/>
    <s v="C24901"/>
    <x v="3"/>
    <n v="3"/>
    <n v="99.9"/>
    <s v="258 Main St"/>
    <x v="4"/>
    <x v="3"/>
    <s v="TRK14029489"/>
    <n v="8"/>
    <s v="FREESHIP"/>
    <x v="3"/>
    <x v="289"/>
  </r>
  <r>
    <s v="ORD200291"/>
    <x v="258"/>
    <s v="C61521"/>
    <x v="1"/>
    <n v="2"/>
    <n v="345.01"/>
    <s v="670 Main St"/>
    <x v="2"/>
    <x v="3"/>
    <s v="TRK93676567"/>
    <n v="6"/>
    <s v="FREESHIP"/>
    <x v="4"/>
    <x v="290"/>
  </r>
  <r>
    <s v="ORD200292"/>
    <x v="259"/>
    <s v="C39639"/>
    <x v="0"/>
    <n v="1"/>
    <n v="65.95"/>
    <s v="185 Main St"/>
    <x v="2"/>
    <x v="3"/>
    <s v="TRK31042152"/>
    <n v="5"/>
    <s v="No Coupon"/>
    <x v="3"/>
    <x v="291"/>
  </r>
  <r>
    <s v="ORD200293"/>
    <x v="223"/>
    <s v="C33220"/>
    <x v="2"/>
    <n v="4"/>
    <n v="463.04"/>
    <s v="564 Main St"/>
    <x v="3"/>
    <x v="2"/>
    <s v="TRK40450219"/>
    <n v="9"/>
    <s v="No Coupon"/>
    <x v="0"/>
    <x v="292"/>
  </r>
  <r>
    <s v="ORD200294"/>
    <x v="260"/>
    <s v="C65414"/>
    <x v="1"/>
    <n v="2"/>
    <n v="297.70999999999998"/>
    <s v="208 Main St"/>
    <x v="1"/>
    <x v="0"/>
    <s v="TRK67562517"/>
    <n v="7"/>
    <s v="SAVE10"/>
    <x v="1"/>
    <x v="293"/>
  </r>
  <r>
    <s v="ORD200295"/>
    <x v="261"/>
    <s v="C49009"/>
    <x v="4"/>
    <n v="5"/>
    <n v="107.48"/>
    <s v="278 Main St"/>
    <x v="0"/>
    <x v="1"/>
    <s v="TRK46285799"/>
    <n v="9"/>
    <s v="FREESHIP"/>
    <x v="2"/>
    <x v="294"/>
  </r>
  <r>
    <s v="ORD200296"/>
    <x v="83"/>
    <s v="C48453"/>
    <x v="6"/>
    <n v="5"/>
    <n v="638.79999999999995"/>
    <s v="434 Main St"/>
    <x v="0"/>
    <x v="1"/>
    <s v="TRK52110494"/>
    <n v="10"/>
    <s v="WINTER15"/>
    <x v="1"/>
    <x v="295"/>
  </r>
  <r>
    <s v="ORD200297"/>
    <x v="262"/>
    <s v="C68078"/>
    <x v="6"/>
    <n v="2"/>
    <n v="493.88"/>
    <s v="252 Main St"/>
    <x v="2"/>
    <x v="2"/>
    <s v="TRK64862812"/>
    <n v="7"/>
    <s v="SAVE10"/>
    <x v="0"/>
    <x v="296"/>
  </r>
  <r>
    <s v="ORD200298"/>
    <x v="263"/>
    <s v="C19402"/>
    <x v="4"/>
    <n v="4"/>
    <n v="301.17"/>
    <s v="267 Main St"/>
    <x v="1"/>
    <x v="1"/>
    <s v="TRK97825212"/>
    <n v="6"/>
    <s v="No Coupon"/>
    <x v="2"/>
    <x v="297"/>
  </r>
  <r>
    <s v="ORD200299"/>
    <x v="264"/>
    <s v="C30711"/>
    <x v="0"/>
    <n v="1"/>
    <n v="278.66000000000003"/>
    <s v="856 Main St"/>
    <x v="3"/>
    <x v="1"/>
    <s v="TRK42696593"/>
    <n v="2"/>
    <s v="FREESHIP"/>
    <x v="0"/>
    <x v="298"/>
  </r>
  <r>
    <s v="ORD200300"/>
    <x v="265"/>
    <s v="C39000"/>
    <x v="1"/>
    <n v="1"/>
    <n v="287.45999999999998"/>
    <s v="894 Main St"/>
    <x v="0"/>
    <x v="2"/>
    <s v="TRK33753945"/>
    <n v="3"/>
    <s v="FREESHIP"/>
    <x v="3"/>
    <x v="299"/>
  </r>
  <r>
    <s v="ORD200301"/>
    <x v="67"/>
    <s v="C31105"/>
    <x v="3"/>
    <n v="1"/>
    <n v="583.99"/>
    <s v="726 Main St"/>
    <x v="4"/>
    <x v="1"/>
    <s v="TRK40149095"/>
    <n v="2"/>
    <s v="SAVE10"/>
    <x v="2"/>
    <x v="300"/>
  </r>
  <r>
    <s v="ORD200302"/>
    <x v="220"/>
    <s v="C29432"/>
    <x v="3"/>
    <n v="3"/>
    <n v="468.74"/>
    <s v="121 Main St"/>
    <x v="4"/>
    <x v="4"/>
    <s v="TRK44142517"/>
    <n v="4"/>
    <s v="FREESHIP"/>
    <x v="0"/>
    <x v="301"/>
  </r>
  <r>
    <s v="ORD200303"/>
    <x v="34"/>
    <s v="C48531"/>
    <x v="2"/>
    <n v="1"/>
    <n v="30.54"/>
    <s v="368 Main St"/>
    <x v="0"/>
    <x v="2"/>
    <s v="TRK95462192"/>
    <n v="1"/>
    <s v="No Coupon"/>
    <x v="4"/>
    <x v="302"/>
  </r>
  <r>
    <s v="ORD200304"/>
    <x v="266"/>
    <s v="C86762"/>
    <x v="0"/>
    <n v="5"/>
    <n v="408.73"/>
    <s v="326 Main St"/>
    <x v="3"/>
    <x v="3"/>
    <s v="TRK75686292"/>
    <n v="10"/>
    <s v="FREESHIP"/>
    <x v="0"/>
    <x v="303"/>
  </r>
  <r>
    <s v="ORD200305"/>
    <x v="97"/>
    <s v="C63822"/>
    <x v="5"/>
    <n v="4"/>
    <n v="126.89"/>
    <s v="235 Main St"/>
    <x v="4"/>
    <x v="4"/>
    <s v="TRK59353216"/>
    <n v="9"/>
    <s v="FREESHIP"/>
    <x v="0"/>
    <x v="304"/>
  </r>
  <r>
    <s v="ORD200306"/>
    <x v="267"/>
    <s v="C70495"/>
    <x v="4"/>
    <n v="2"/>
    <n v="57.07"/>
    <s v="238 Main St"/>
    <x v="0"/>
    <x v="2"/>
    <s v="TRK65511225"/>
    <n v="3"/>
    <s v="SAVE10"/>
    <x v="0"/>
    <x v="305"/>
  </r>
  <r>
    <s v="ORD200307"/>
    <x v="268"/>
    <s v="C92407"/>
    <x v="5"/>
    <n v="3"/>
    <n v="557.41"/>
    <s v="135 Main St"/>
    <x v="1"/>
    <x v="3"/>
    <s v="TRK11755610"/>
    <n v="4"/>
    <s v="No Coupon"/>
    <x v="2"/>
    <x v="306"/>
  </r>
  <r>
    <s v="ORD200308"/>
    <x v="66"/>
    <s v="C75888"/>
    <x v="4"/>
    <n v="3"/>
    <n v="448.9"/>
    <s v="790 Main St"/>
    <x v="0"/>
    <x v="2"/>
    <s v="TRK98467398"/>
    <n v="7"/>
    <s v="SAVE10"/>
    <x v="0"/>
    <x v="307"/>
  </r>
  <r>
    <s v="ORD200309"/>
    <x v="269"/>
    <s v="C63153"/>
    <x v="3"/>
    <n v="4"/>
    <n v="549.76"/>
    <s v="625 Main St"/>
    <x v="0"/>
    <x v="3"/>
    <s v="TRK38033305"/>
    <n v="4"/>
    <s v="FREESHIP"/>
    <x v="3"/>
    <x v="308"/>
  </r>
  <r>
    <s v="ORD200310"/>
    <x v="270"/>
    <s v="C85863"/>
    <x v="4"/>
    <n v="3"/>
    <n v="132.47999999999999"/>
    <s v="968 Main St"/>
    <x v="1"/>
    <x v="0"/>
    <s v="TRK16094218"/>
    <n v="4"/>
    <s v="No Coupon"/>
    <x v="1"/>
    <x v="309"/>
  </r>
  <r>
    <s v="ORD200311"/>
    <x v="271"/>
    <s v="C71698"/>
    <x v="6"/>
    <n v="5"/>
    <n v="489.37"/>
    <s v="274 Main St"/>
    <x v="1"/>
    <x v="2"/>
    <s v="TRK34786818"/>
    <n v="8"/>
    <s v="No Coupon"/>
    <x v="0"/>
    <x v="310"/>
  </r>
  <r>
    <s v="ORD200312"/>
    <x v="272"/>
    <s v="C35397"/>
    <x v="4"/>
    <n v="5"/>
    <n v="66.31"/>
    <s v="579 Main St"/>
    <x v="3"/>
    <x v="4"/>
    <s v="TRK64742535"/>
    <n v="7"/>
    <s v="FREESHIP"/>
    <x v="1"/>
    <x v="311"/>
  </r>
  <r>
    <s v="ORD200313"/>
    <x v="273"/>
    <s v="C67687"/>
    <x v="3"/>
    <n v="2"/>
    <n v="434.3"/>
    <s v="978 Main St"/>
    <x v="4"/>
    <x v="3"/>
    <s v="TRK22838735"/>
    <n v="7"/>
    <s v="SAVE10"/>
    <x v="0"/>
    <x v="312"/>
  </r>
  <r>
    <s v="ORD200314"/>
    <x v="274"/>
    <s v="C29931"/>
    <x v="6"/>
    <n v="4"/>
    <n v="153.09"/>
    <s v="540 Main St"/>
    <x v="1"/>
    <x v="3"/>
    <s v="TRK48712417"/>
    <n v="4"/>
    <s v="FREESHIP"/>
    <x v="1"/>
    <x v="313"/>
  </r>
  <r>
    <s v="ORD200315"/>
    <x v="275"/>
    <s v="C59139"/>
    <x v="2"/>
    <n v="5"/>
    <n v="91.67"/>
    <s v="301 Main St"/>
    <x v="1"/>
    <x v="1"/>
    <s v="TRK45507090"/>
    <n v="9"/>
    <s v="FREESHIP"/>
    <x v="2"/>
    <x v="314"/>
  </r>
  <r>
    <s v="ORD200316"/>
    <x v="276"/>
    <s v="C66078"/>
    <x v="6"/>
    <n v="4"/>
    <n v="275.27999999999997"/>
    <s v="101 Main St"/>
    <x v="3"/>
    <x v="0"/>
    <s v="TRK86474559"/>
    <n v="9"/>
    <s v="WINTER15"/>
    <x v="3"/>
    <x v="315"/>
  </r>
  <r>
    <s v="ORD200317"/>
    <x v="132"/>
    <s v="C88370"/>
    <x v="0"/>
    <n v="2"/>
    <n v="139.94999999999999"/>
    <s v="339 Main St"/>
    <x v="1"/>
    <x v="2"/>
    <s v="TRK22575151"/>
    <n v="5"/>
    <s v="No Coupon"/>
    <x v="0"/>
    <x v="316"/>
  </r>
  <r>
    <s v="ORD200318"/>
    <x v="277"/>
    <s v="C93375"/>
    <x v="3"/>
    <n v="3"/>
    <n v="148.72"/>
    <s v="317 Main St"/>
    <x v="0"/>
    <x v="1"/>
    <s v="TRK95706967"/>
    <n v="7"/>
    <s v="SAVE10"/>
    <x v="4"/>
    <x v="317"/>
  </r>
  <r>
    <s v="ORD200319"/>
    <x v="278"/>
    <s v="C53049"/>
    <x v="5"/>
    <n v="2"/>
    <n v="563.05999999999995"/>
    <s v="413 Main St"/>
    <x v="4"/>
    <x v="2"/>
    <s v="TRK48974907"/>
    <n v="6"/>
    <s v="No Coupon"/>
    <x v="0"/>
    <x v="318"/>
  </r>
  <r>
    <s v="ORD200320"/>
    <x v="36"/>
    <s v="C55590"/>
    <x v="4"/>
    <n v="1"/>
    <n v="625.51"/>
    <s v="772 Main St"/>
    <x v="2"/>
    <x v="0"/>
    <s v="TRK48792951"/>
    <n v="1"/>
    <s v="FREESHIP"/>
    <x v="3"/>
    <x v="319"/>
  </r>
  <r>
    <s v="ORD200321"/>
    <x v="279"/>
    <s v="C47086"/>
    <x v="1"/>
    <n v="4"/>
    <n v="152.29"/>
    <s v="135 Main St"/>
    <x v="0"/>
    <x v="1"/>
    <s v="TRK44194358"/>
    <n v="6"/>
    <s v="WINTER15"/>
    <x v="4"/>
    <x v="320"/>
  </r>
  <r>
    <s v="ORD200322"/>
    <x v="280"/>
    <s v="C48646"/>
    <x v="1"/>
    <n v="5"/>
    <n v="231.82"/>
    <s v="339 Main St"/>
    <x v="0"/>
    <x v="3"/>
    <s v="TRK18233748"/>
    <n v="6"/>
    <s v="SAVE10"/>
    <x v="3"/>
    <x v="321"/>
  </r>
  <r>
    <s v="ORD200323"/>
    <x v="281"/>
    <s v="C29416"/>
    <x v="5"/>
    <n v="1"/>
    <n v="150.16999999999999"/>
    <s v="414 Main St"/>
    <x v="0"/>
    <x v="2"/>
    <s v="TRK63820842"/>
    <n v="1"/>
    <s v="SAVE10"/>
    <x v="1"/>
    <x v="322"/>
  </r>
  <r>
    <s v="ORD200324"/>
    <x v="136"/>
    <s v="C13525"/>
    <x v="2"/>
    <n v="3"/>
    <n v="70.930000000000007"/>
    <s v="847 Main St"/>
    <x v="0"/>
    <x v="2"/>
    <s v="TRK70193221"/>
    <n v="5"/>
    <s v="No Coupon"/>
    <x v="1"/>
    <x v="323"/>
  </r>
  <r>
    <s v="ORD200325"/>
    <x v="282"/>
    <s v="C53545"/>
    <x v="6"/>
    <n v="3"/>
    <n v="361.39"/>
    <s v="665 Main St"/>
    <x v="2"/>
    <x v="0"/>
    <s v="TRK61123177"/>
    <n v="8"/>
    <s v="No Coupon"/>
    <x v="1"/>
    <x v="324"/>
  </r>
  <r>
    <s v="ORD200326"/>
    <x v="283"/>
    <s v="C65986"/>
    <x v="5"/>
    <n v="5"/>
    <n v="670.48"/>
    <s v="273 Main St"/>
    <x v="3"/>
    <x v="2"/>
    <s v="TRK98353867"/>
    <n v="5"/>
    <s v="SAVE10"/>
    <x v="3"/>
    <x v="325"/>
  </r>
  <r>
    <s v="ORD200327"/>
    <x v="284"/>
    <s v="C17302"/>
    <x v="1"/>
    <n v="1"/>
    <n v="359.99"/>
    <s v="385 Main St"/>
    <x v="3"/>
    <x v="1"/>
    <s v="TRK43940016"/>
    <n v="5"/>
    <s v="SAVE10"/>
    <x v="2"/>
    <x v="326"/>
  </r>
  <r>
    <s v="ORD200328"/>
    <x v="285"/>
    <s v="C18404"/>
    <x v="2"/>
    <n v="5"/>
    <n v="674.04"/>
    <s v="546 Main St"/>
    <x v="1"/>
    <x v="1"/>
    <s v="TRK89401624"/>
    <n v="7"/>
    <s v="SAVE10"/>
    <x v="4"/>
    <x v="327"/>
  </r>
  <r>
    <s v="ORD200329"/>
    <x v="286"/>
    <s v="C88371"/>
    <x v="3"/>
    <n v="4"/>
    <n v="283.16000000000003"/>
    <s v="306 Main St"/>
    <x v="2"/>
    <x v="0"/>
    <s v="TRK63224811"/>
    <n v="6"/>
    <s v="No Coupon"/>
    <x v="4"/>
    <x v="328"/>
  </r>
  <r>
    <s v="ORD200330"/>
    <x v="287"/>
    <s v="C38068"/>
    <x v="6"/>
    <n v="5"/>
    <n v="260.52999999999997"/>
    <s v="532 Main St"/>
    <x v="3"/>
    <x v="4"/>
    <s v="TRK54059198"/>
    <n v="5"/>
    <s v="SAVE10"/>
    <x v="0"/>
    <x v="329"/>
  </r>
  <r>
    <s v="ORD200331"/>
    <x v="288"/>
    <s v="C78724"/>
    <x v="4"/>
    <n v="3"/>
    <n v="422.13"/>
    <s v="187 Main St"/>
    <x v="1"/>
    <x v="3"/>
    <s v="TRK25703134"/>
    <n v="7"/>
    <s v="SAVE10"/>
    <x v="3"/>
    <x v="330"/>
  </r>
  <r>
    <s v="ORD200332"/>
    <x v="289"/>
    <s v="C26163"/>
    <x v="6"/>
    <n v="5"/>
    <n v="125.02"/>
    <s v="607 Main St"/>
    <x v="0"/>
    <x v="4"/>
    <s v="TRK67499316"/>
    <n v="9"/>
    <s v="SAVE10"/>
    <x v="4"/>
    <x v="331"/>
  </r>
  <r>
    <s v="ORD200333"/>
    <x v="162"/>
    <s v="C87124"/>
    <x v="1"/>
    <n v="1"/>
    <n v="198.51"/>
    <s v="818 Main St"/>
    <x v="2"/>
    <x v="2"/>
    <s v="TRK52086740"/>
    <n v="5"/>
    <s v="WINTER15"/>
    <x v="0"/>
    <x v="332"/>
  </r>
  <r>
    <s v="ORD200334"/>
    <x v="290"/>
    <s v="C90348"/>
    <x v="3"/>
    <n v="4"/>
    <n v="224.75"/>
    <s v="728 Main St"/>
    <x v="1"/>
    <x v="3"/>
    <s v="TRK20635777"/>
    <n v="7"/>
    <s v="WINTER15"/>
    <x v="3"/>
    <x v="333"/>
  </r>
  <r>
    <s v="ORD200335"/>
    <x v="291"/>
    <s v="C58721"/>
    <x v="2"/>
    <n v="3"/>
    <n v="205.86"/>
    <s v="978 Main St"/>
    <x v="3"/>
    <x v="0"/>
    <s v="TRK34801199"/>
    <n v="4"/>
    <s v="No Coupon"/>
    <x v="2"/>
    <x v="334"/>
  </r>
  <r>
    <s v="ORD200336"/>
    <x v="10"/>
    <s v="C88174"/>
    <x v="5"/>
    <n v="1"/>
    <n v="18.2"/>
    <s v="441 Main St"/>
    <x v="0"/>
    <x v="4"/>
    <s v="TRK10143345"/>
    <n v="4"/>
    <s v="SAVE10"/>
    <x v="0"/>
    <x v="335"/>
  </r>
  <r>
    <s v="ORD200337"/>
    <x v="292"/>
    <s v="C77763"/>
    <x v="2"/>
    <n v="3"/>
    <n v="502.77"/>
    <s v="599 Main St"/>
    <x v="0"/>
    <x v="2"/>
    <s v="TRK66980447"/>
    <n v="8"/>
    <s v="WINTER15"/>
    <x v="2"/>
    <x v="336"/>
  </r>
  <r>
    <s v="ORD200338"/>
    <x v="293"/>
    <s v="C53627"/>
    <x v="1"/>
    <n v="5"/>
    <n v="305.49"/>
    <s v="704 Main St"/>
    <x v="0"/>
    <x v="0"/>
    <s v="TRK64112352"/>
    <n v="10"/>
    <s v="No Coupon"/>
    <x v="1"/>
    <x v="337"/>
  </r>
  <r>
    <s v="ORD200339"/>
    <x v="294"/>
    <s v="C84563"/>
    <x v="4"/>
    <n v="2"/>
    <n v="236.33"/>
    <s v="398 Main St"/>
    <x v="1"/>
    <x v="4"/>
    <s v="TRK62422797"/>
    <n v="3"/>
    <s v="SAVE10"/>
    <x v="0"/>
    <x v="338"/>
  </r>
  <r>
    <s v="ORD200340"/>
    <x v="295"/>
    <s v="C76207"/>
    <x v="5"/>
    <n v="5"/>
    <n v="521.25"/>
    <s v="826 Main St"/>
    <x v="4"/>
    <x v="1"/>
    <s v="TRK25569378"/>
    <n v="8"/>
    <s v="No Coupon"/>
    <x v="2"/>
    <x v="339"/>
  </r>
  <r>
    <s v="ORD200341"/>
    <x v="296"/>
    <s v="C94671"/>
    <x v="2"/>
    <n v="1"/>
    <n v="167.15"/>
    <s v="293 Main St"/>
    <x v="3"/>
    <x v="0"/>
    <s v="TRK61357272"/>
    <n v="5"/>
    <s v="WINTER15"/>
    <x v="2"/>
    <x v="340"/>
  </r>
  <r>
    <s v="ORD200342"/>
    <x v="53"/>
    <s v="C69994"/>
    <x v="0"/>
    <n v="5"/>
    <n v="466.42"/>
    <s v="619 Main St"/>
    <x v="3"/>
    <x v="2"/>
    <s v="TRK95935805"/>
    <n v="5"/>
    <s v="No Coupon"/>
    <x v="1"/>
    <x v="341"/>
  </r>
  <r>
    <s v="ORD200343"/>
    <x v="297"/>
    <s v="C64638"/>
    <x v="4"/>
    <n v="1"/>
    <n v="527.57000000000005"/>
    <s v="919 Main St"/>
    <x v="0"/>
    <x v="4"/>
    <s v="TRK64087938"/>
    <n v="3"/>
    <s v="FREESHIP"/>
    <x v="3"/>
    <x v="342"/>
  </r>
  <r>
    <s v="ORD200344"/>
    <x v="298"/>
    <s v="C95623"/>
    <x v="2"/>
    <n v="3"/>
    <n v="623.34"/>
    <s v="248 Main St"/>
    <x v="1"/>
    <x v="1"/>
    <s v="TRK67558189"/>
    <n v="3"/>
    <s v="SAVE10"/>
    <x v="0"/>
    <x v="343"/>
  </r>
  <r>
    <s v="ORD200345"/>
    <x v="173"/>
    <s v="C24751"/>
    <x v="2"/>
    <n v="5"/>
    <n v="501.26"/>
    <s v="259 Main St"/>
    <x v="3"/>
    <x v="0"/>
    <s v="TRK37285406"/>
    <n v="10"/>
    <s v="FREESHIP"/>
    <x v="1"/>
    <x v="344"/>
  </r>
  <r>
    <s v="ORD200346"/>
    <x v="299"/>
    <s v="C31764"/>
    <x v="2"/>
    <n v="1"/>
    <n v="655.09"/>
    <s v="876 Main St"/>
    <x v="4"/>
    <x v="4"/>
    <s v="TRK44680433"/>
    <n v="6"/>
    <s v="No Coupon"/>
    <x v="1"/>
    <x v="345"/>
  </r>
  <r>
    <s v="ORD200347"/>
    <x v="300"/>
    <s v="C83556"/>
    <x v="4"/>
    <n v="4"/>
    <n v="264.79000000000002"/>
    <s v="380 Main St"/>
    <x v="2"/>
    <x v="4"/>
    <s v="TRK21109187"/>
    <n v="5"/>
    <s v="SAVE10"/>
    <x v="4"/>
    <x v="346"/>
  </r>
  <r>
    <s v="ORD200348"/>
    <x v="206"/>
    <s v="C24369"/>
    <x v="5"/>
    <n v="3"/>
    <n v="359.73"/>
    <s v="885 Main St"/>
    <x v="0"/>
    <x v="2"/>
    <s v="TRK72633998"/>
    <n v="7"/>
    <s v="FREESHIP"/>
    <x v="2"/>
    <x v="347"/>
  </r>
  <r>
    <s v="ORD200349"/>
    <x v="115"/>
    <s v="C39648"/>
    <x v="3"/>
    <n v="1"/>
    <n v="465.33"/>
    <s v="824 Main St"/>
    <x v="3"/>
    <x v="3"/>
    <s v="TRK56016905"/>
    <n v="2"/>
    <s v="FREESHIP"/>
    <x v="4"/>
    <x v="348"/>
  </r>
  <r>
    <s v="ORD200350"/>
    <x v="301"/>
    <s v="C13296"/>
    <x v="3"/>
    <n v="2"/>
    <n v="54.41"/>
    <s v="495 Main St"/>
    <x v="1"/>
    <x v="0"/>
    <s v="TRK60127216"/>
    <n v="6"/>
    <s v="No Coupon"/>
    <x v="0"/>
    <x v="349"/>
  </r>
  <r>
    <s v="ORD200351"/>
    <x v="302"/>
    <s v="C94248"/>
    <x v="5"/>
    <n v="1"/>
    <n v="64.66"/>
    <s v="494 Main St"/>
    <x v="0"/>
    <x v="3"/>
    <s v="TRK89406816"/>
    <n v="4"/>
    <s v="No Coupon"/>
    <x v="0"/>
    <x v="350"/>
  </r>
  <r>
    <s v="ORD200352"/>
    <x v="303"/>
    <s v="C26637"/>
    <x v="3"/>
    <n v="5"/>
    <n v="173.96"/>
    <s v="995 Main St"/>
    <x v="0"/>
    <x v="4"/>
    <s v="TRK59546992"/>
    <n v="8"/>
    <s v="WINTER15"/>
    <x v="0"/>
    <x v="351"/>
  </r>
  <r>
    <s v="ORD200353"/>
    <x v="210"/>
    <s v="C16012"/>
    <x v="2"/>
    <n v="1"/>
    <n v="630.82000000000005"/>
    <s v="171 Main St"/>
    <x v="1"/>
    <x v="3"/>
    <s v="TRK15195225"/>
    <n v="5"/>
    <s v="FREESHIP"/>
    <x v="4"/>
    <x v="352"/>
  </r>
  <r>
    <s v="ORD200354"/>
    <x v="304"/>
    <s v="C31772"/>
    <x v="1"/>
    <n v="1"/>
    <n v="693.41"/>
    <s v="992 Main St"/>
    <x v="0"/>
    <x v="0"/>
    <s v="TRK11970357"/>
    <n v="4"/>
    <s v="No Coupon"/>
    <x v="0"/>
    <x v="353"/>
  </r>
  <r>
    <s v="ORD200355"/>
    <x v="305"/>
    <s v="C18353"/>
    <x v="2"/>
    <n v="3"/>
    <n v="433.33"/>
    <s v="677 Main St"/>
    <x v="2"/>
    <x v="1"/>
    <s v="TRK78766533"/>
    <n v="4"/>
    <s v="FREESHIP"/>
    <x v="1"/>
    <x v="354"/>
  </r>
  <r>
    <s v="ORD200356"/>
    <x v="306"/>
    <s v="C26966"/>
    <x v="4"/>
    <n v="5"/>
    <n v="374.58"/>
    <s v="907 Main St"/>
    <x v="3"/>
    <x v="1"/>
    <s v="TRK83889574"/>
    <n v="10"/>
    <s v="FREESHIP"/>
    <x v="0"/>
    <x v="355"/>
  </r>
  <r>
    <s v="ORD200357"/>
    <x v="307"/>
    <s v="C74982"/>
    <x v="5"/>
    <n v="5"/>
    <n v="408.56"/>
    <s v="398 Main St"/>
    <x v="0"/>
    <x v="3"/>
    <s v="TRK98700702"/>
    <n v="8"/>
    <s v="FREESHIP"/>
    <x v="0"/>
    <x v="356"/>
  </r>
  <r>
    <s v="ORD200358"/>
    <x v="158"/>
    <s v="C70633"/>
    <x v="2"/>
    <n v="2"/>
    <n v="183.67"/>
    <s v="747 Main St"/>
    <x v="1"/>
    <x v="1"/>
    <s v="TRK82540521"/>
    <n v="3"/>
    <s v="SAVE10"/>
    <x v="4"/>
    <x v="357"/>
  </r>
  <r>
    <s v="ORD200359"/>
    <x v="308"/>
    <s v="C95643"/>
    <x v="6"/>
    <n v="4"/>
    <n v="606.57000000000005"/>
    <s v="303 Main St"/>
    <x v="0"/>
    <x v="3"/>
    <s v="TRK23286689"/>
    <n v="5"/>
    <s v="WINTER15"/>
    <x v="1"/>
    <x v="358"/>
  </r>
  <r>
    <s v="ORD200360"/>
    <x v="309"/>
    <s v="C53810"/>
    <x v="1"/>
    <n v="4"/>
    <n v="589.57000000000005"/>
    <s v="779 Main St"/>
    <x v="4"/>
    <x v="4"/>
    <s v="TRK34630612"/>
    <n v="8"/>
    <s v="No Coupon"/>
    <x v="0"/>
    <x v="359"/>
  </r>
  <r>
    <s v="ORD200361"/>
    <x v="310"/>
    <s v="C53464"/>
    <x v="4"/>
    <n v="5"/>
    <n v="659.85"/>
    <s v="197 Main St"/>
    <x v="2"/>
    <x v="3"/>
    <s v="TRK32743531"/>
    <n v="9"/>
    <s v="SAVE10"/>
    <x v="3"/>
    <x v="360"/>
  </r>
  <r>
    <s v="ORD200362"/>
    <x v="78"/>
    <s v="C53697"/>
    <x v="0"/>
    <n v="4"/>
    <n v="206.84"/>
    <s v="312 Main St"/>
    <x v="4"/>
    <x v="1"/>
    <s v="TRK60476656"/>
    <n v="5"/>
    <s v="WINTER15"/>
    <x v="0"/>
    <x v="361"/>
  </r>
  <r>
    <s v="ORD200363"/>
    <x v="75"/>
    <s v="C31668"/>
    <x v="5"/>
    <n v="5"/>
    <n v="113.87"/>
    <s v="871 Main St"/>
    <x v="2"/>
    <x v="4"/>
    <s v="TRK42584392"/>
    <n v="6"/>
    <s v="SAVE10"/>
    <x v="2"/>
    <x v="362"/>
  </r>
  <r>
    <s v="ORD200364"/>
    <x v="254"/>
    <s v="C85282"/>
    <x v="1"/>
    <n v="5"/>
    <n v="628.74"/>
    <s v="740 Main St"/>
    <x v="4"/>
    <x v="1"/>
    <s v="TRK86767206"/>
    <n v="9"/>
    <s v="FREESHIP"/>
    <x v="3"/>
    <x v="363"/>
  </r>
  <r>
    <s v="ORD200365"/>
    <x v="311"/>
    <s v="C56796"/>
    <x v="1"/>
    <n v="1"/>
    <n v="678.38"/>
    <s v="607 Main St"/>
    <x v="2"/>
    <x v="1"/>
    <s v="TRK74263180"/>
    <n v="4"/>
    <s v="SAVE10"/>
    <x v="1"/>
    <x v="364"/>
  </r>
  <r>
    <s v="ORD200366"/>
    <x v="312"/>
    <s v="C95213"/>
    <x v="4"/>
    <n v="3"/>
    <n v="602.24"/>
    <s v="603 Main St"/>
    <x v="0"/>
    <x v="4"/>
    <s v="TRK40630538"/>
    <n v="8"/>
    <s v="No Coupon"/>
    <x v="1"/>
    <x v="365"/>
  </r>
  <r>
    <s v="ORD200367"/>
    <x v="313"/>
    <s v="C13108"/>
    <x v="5"/>
    <n v="5"/>
    <n v="658.77"/>
    <s v="712 Main St"/>
    <x v="3"/>
    <x v="4"/>
    <s v="TRK82284400"/>
    <n v="10"/>
    <s v="FREESHIP"/>
    <x v="0"/>
    <x v="366"/>
  </r>
  <r>
    <s v="ORD200368"/>
    <x v="31"/>
    <s v="C85322"/>
    <x v="0"/>
    <n v="3"/>
    <n v="271.02"/>
    <s v="403 Main St"/>
    <x v="2"/>
    <x v="1"/>
    <s v="TRK89728869"/>
    <n v="6"/>
    <s v="No Coupon"/>
    <x v="4"/>
    <x v="367"/>
  </r>
  <r>
    <s v="ORD200369"/>
    <x v="70"/>
    <s v="C43545"/>
    <x v="0"/>
    <n v="5"/>
    <n v="375.25"/>
    <s v="216 Main St"/>
    <x v="3"/>
    <x v="4"/>
    <s v="TRK73937402"/>
    <n v="9"/>
    <s v="SAVE10"/>
    <x v="2"/>
    <x v="368"/>
  </r>
  <r>
    <s v="ORD200370"/>
    <x v="120"/>
    <s v="C80649"/>
    <x v="1"/>
    <n v="1"/>
    <n v="312.11"/>
    <s v="870 Main St"/>
    <x v="1"/>
    <x v="1"/>
    <s v="TRK41143313"/>
    <n v="4"/>
    <s v="WINTER15"/>
    <x v="3"/>
    <x v="369"/>
  </r>
  <r>
    <s v="ORD200371"/>
    <x v="314"/>
    <s v="C59752"/>
    <x v="1"/>
    <n v="5"/>
    <n v="307.76"/>
    <s v="179 Main St"/>
    <x v="3"/>
    <x v="4"/>
    <s v="TRK82229639"/>
    <n v="9"/>
    <s v="FREESHIP"/>
    <x v="4"/>
    <x v="370"/>
  </r>
  <r>
    <s v="ORD200372"/>
    <x v="311"/>
    <s v="C53645"/>
    <x v="3"/>
    <n v="3"/>
    <n v="483.53"/>
    <s v="166 Main St"/>
    <x v="4"/>
    <x v="2"/>
    <s v="TRK12123939"/>
    <n v="4"/>
    <s v="No Coupon"/>
    <x v="1"/>
    <x v="371"/>
  </r>
  <r>
    <s v="ORD200373"/>
    <x v="315"/>
    <s v="C60178"/>
    <x v="5"/>
    <n v="3"/>
    <n v="341.15"/>
    <s v="969 Main St"/>
    <x v="4"/>
    <x v="4"/>
    <s v="TRK84505143"/>
    <n v="4"/>
    <s v="FREESHIP"/>
    <x v="0"/>
    <x v="372"/>
  </r>
  <r>
    <s v="ORD200374"/>
    <x v="316"/>
    <s v="C20286"/>
    <x v="0"/>
    <n v="1"/>
    <n v="571.9"/>
    <s v="129 Main St"/>
    <x v="3"/>
    <x v="4"/>
    <s v="TRK67648338"/>
    <n v="1"/>
    <s v="WINTER15"/>
    <x v="0"/>
    <x v="373"/>
  </r>
  <r>
    <s v="ORD200375"/>
    <x v="317"/>
    <s v="C87547"/>
    <x v="0"/>
    <n v="4"/>
    <n v="95.03"/>
    <s v="400 Main St"/>
    <x v="1"/>
    <x v="0"/>
    <s v="TRK71027262"/>
    <n v="8"/>
    <s v="FREESHIP"/>
    <x v="3"/>
    <x v="374"/>
  </r>
  <r>
    <s v="ORD200376"/>
    <x v="318"/>
    <s v="C64549"/>
    <x v="0"/>
    <n v="5"/>
    <n v="201.22"/>
    <s v="341 Main St"/>
    <x v="0"/>
    <x v="4"/>
    <s v="TRK20788231"/>
    <n v="6"/>
    <s v="FREESHIP"/>
    <x v="3"/>
    <x v="375"/>
  </r>
  <r>
    <s v="ORD200377"/>
    <x v="319"/>
    <s v="C24884"/>
    <x v="0"/>
    <n v="1"/>
    <n v="260.26"/>
    <s v="625 Main St"/>
    <x v="1"/>
    <x v="4"/>
    <s v="TRK44538419"/>
    <n v="5"/>
    <s v="WINTER15"/>
    <x v="0"/>
    <x v="376"/>
  </r>
  <r>
    <s v="ORD200378"/>
    <x v="320"/>
    <s v="C62666"/>
    <x v="3"/>
    <n v="5"/>
    <n v="64.5"/>
    <s v="148 Main St"/>
    <x v="2"/>
    <x v="4"/>
    <s v="TRK91029390"/>
    <n v="8"/>
    <s v="WINTER15"/>
    <x v="0"/>
    <x v="377"/>
  </r>
  <r>
    <s v="ORD200379"/>
    <x v="321"/>
    <s v="C47284"/>
    <x v="1"/>
    <n v="3"/>
    <n v="297.67"/>
    <s v="500 Main St"/>
    <x v="1"/>
    <x v="0"/>
    <s v="TRK85756094"/>
    <n v="6"/>
    <s v="No Coupon"/>
    <x v="4"/>
    <x v="378"/>
  </r>
  <r>
    <s v="ORD200380"/>
    <x v="322"/>
    <s v="C35355"/>
    <x v="4"/>
    <n v="4"/>
    <n v="331.9"/>
    <s v="127 Main St"/>
    <x v="4"/>
    <x v="4"/>
    <s v="TRK52935059"/>
    <n v="5"/>
    <s v="SAVE10"/>
    <x v="0"/>
    <x v="379"/>
  </r>
  <r>
    <s v="ORD200381"/>
    <x v="323"/>
    <s v="C29467"/>
    <x v="3"/>
    <n v="1"/>
    <n v="191.76"/>
    <s v="223 Main St"/>
    <x v="2"/>
    <x v="2"/>
    <s v="TRK98103385"/>
    <n v="1"/>
    <s v="FREESHIP"/>
    <x v="0"/>
    <x v="380"/>
  </r>
  <r>
    <s v="ORD200382"/>
    <x v="324"/>
    <s v="C26718"/>
    <x v="4"/>
    <n v="4"/>
    <n v="263.08999999999997"/>
    <s v="272 Main St"/>
    <x v="0"/>
    <x v="0"/>
    <s v="TRK91702525"/>
    <n v="8"/>
    <s v="SAVE10"/>
    <x v="4"/>
    <x v="381"/>
  </r>
  <r>
    <s v="ORD200383"/>
    <x v="325"/>
    <s v="C18944"/>
    <x v="3"/>
    <n v="4"/>
    <n v="393.8"/>
    <s v="837 Main St"/>
    <x v="2"/>
    <x v="4"/>
    <s v="TRK45275439"/>
    <n v="7"/>
    <s v="SAVE10"/>
    <x v="2"/>
    <x v="382"/>
  </r>
  <r>
    <s v="ORD200384"/>
    <x v="167"/>
    <s v="C35628"/>
    <x v="3"/>
    <n v="3"/>
    <n v="553.57000000000005"/>
    <s v="147 Main St"/>
    <x v="2"/>
    <x v="2"/>
    <s v="TRK45688220"/>
    <n v="4"/>
    <s v="FREESHIP"/>
    <x v="3"/>
    <x v="383"/>
  </r>
  <r>
    <s v="ORD200385"/>
    <x v="150"/>
    <s v="C56851"/>
    <x v="3"/>
    <n v="5"/>
    <n v="191.63"/>
    <s v="752 Main St"/>
    <x v="3"/>
    <x v="3"/>
    <s v="TRK65290904"/>
    <n v="6"/>
    <s v="FREESHIP"/>
    <x v="3"/>
    <x v="384"/>
  </r>
  <r>
    <s v="ORD200386"/>
    <x v="200"/>
    <s v="C12421"/>
    <x v="2"/>
    <n v="1"/>
    <n v="93.02"/>
    <s v="373 Main St"/>
    <x v="1"/>
    <x v="2"/>
    <s v="TRK32588504"/>
    <n v="4"/>
    <s v="No Coupon"/>
    <x v="2"/>
    <x v="385"/>
  </r>
  <r>
    <s v="ORD200387"/>
    <x v="326"/>
    <s v="C25316"/>
    <x v="4"/>
    <n v="2"/>
    <n v="39.53"/>
    <s v="904 Main St"/>
    <x v="2"/>
    <x v="0"/>
    <s v="TRK55423551"/>
    <n v="3"/>
    <s v="WINTER15"/>
    <x v="4"/>
    <x v="386"/>
  </r>
  <r>
    <s v="ORD200388"/>
    <x v="153"/>
    <s v="C22657"/>
    <x v="4"/>
    <n v="3"/>
    <n v="633.97"/>
    <s v="152 Main St"/>
    <x v="4"/>
    <x v="4"/>
    <s v="TRK49157047"/>
    <n v="7"/>
    <s v="WINTER15"/>
    <x v="3"/>
    <x v="387"/>
  </r>
  <r>
    <s v="ORD200389"/>
    <x v="327"/>
    <s v="C29703"/>
    <x v="6"/>
    <n v="4"/>
    <n v="697.5"/>
    <s v="558 Main St"/>
    <x v="4"/>
    <x v="0"/>
    <s v="TRK40543461"/>
    <n v="7"/>
    <s v="FREESHIP"/>
    <x v="1"/>
    <x v="388"/>
  </r>
  <r>
    <s v="ORD200390"/>
    <x v="328"/>
    <s v="C55996"/>
    <x v="4"/>
    <n v="5"/>
    <n v="508.69"/>
    <s v="885 Main St"/>
    <x v="4"/>
    <x v="3"/>
    <s v="TRK30547638"/>
    <n v="10"/>
    <s v="FREESHIP"/>
    <x v="4"/>
    <x v="389"/>
  </r>
  <r>
    <s v="ORD200391"/>
    <x v="317"/>
    <s v="C60037"/>
    <x v="5"/>
    <n v="2"/>
    <n v="527.46"/>
    <s v="516 Main St"/>
    <x v="0"/>
    <x v="1"/>
    <s v="TRK82009557"/>
    <n v="3"/>
    <s v="FREESHIP"/>
    <x v="1"/>
    <x v="390"/>
  </r>
  <r>
    <s v="ORD200392"/>
    <x v="329"/>
    <s v="C95100"/>
    <x v="1"/>
    <n v="1"/>
    <n v="627.20000000000005"/>
    <s v="197 Main St"/>
    <x v="1"/>
    <x v="3"/>
    <s v="TRK47366265"/>
    <n v="1"/>
    <s v="WINTER15"/>
    <x v="2"/>
    <x v="391"/>
  </r>
  <r>
    <s v="ORD200393"/>
    <x v="330"/>
    <s v="C39906"/>
    <x v="4"/>
    <n v="1"/>
    <n v="75.010000000000005"/>
    <s v="921 Main St"/>
    <x v="2"/>
    <x v="2"/>
    <s v="TRK24632134"/>
    <n v="3"/>
    <s v="No Coupon"/>
    <x v="4"/>
    <x v="392"/>
  </r>
  <r>
    <s v="ORD200394"/>
    <x v="176"/>
    <s v="C70148"/>
    <x v="6"/>
    <n v="5"/>
    <n v="529.54999999999995"/>
    <s v="359 Main St"/>
    <x v="3"/>
    <x v="0"/>
    <s v="TRK34848650"/>
    <n v="10"/>
    <s v="No Coupon"/>
    <x v="3"/>
    <x v="393"/>
  </r>
  <r>
    <s v="ORD200395"/>
    <x v="331"/>
    <s v="C30010"/>
    <x v="1"/>
    <n v="3"/>
    <n v="127.41"/>
    <s v="830 Main St"/>
    <x v="3"/>
    <x v="3"/>
    <s v="TRK35386084"/>
    <n v="7"/>
    <s v="SAVE10"/>
    <x v="1"/>
    <x v="394"/>
  </r>
  <r>
    <s v="ORD200396"/>
    <x v="142"/>
    <s v="C99217"/>
    <x v="2"/>
    <n v="5"/>
    <n v="287.13"/>
    <s v="778 Main St"/>
    <x v="1"/>
    <x v="0"/>
    <s v="TRK82004594"/>
    <n v="10"/>
    <s v="SAVE10"/>
    <x v="2"/>
    <x v="395"/>
  </r>
  <r>
    <s v="ORD200397"/>
    <x v="332"/>
    <s v="C30184"/>
    <x v="0"/>
    <n v="1"/>
    <n v="427.06"/>
    <s v="987 Main St"/>
    <x v="1"/>
    <x v="1"/>
    <s v="TRK86674704"/>
    <n v="1"/>
    <s v="WINTER15"/>
    <x v="1"/>
    <x v="396"/>
  </r>
  <r>
    <s v="ORD200398"/>
    <x v="333"/>
    <s v="C50275"/>
    <x v="1"/>
    <n v="5"/>
    <n v="53.93"/>
    <s v="729 Main St"/>
    <x v="3"/>
    <x v="0"/>
    <s v="TRK98925264"/>
    <n v="7"/>
    <s v="SAVE10"/>
    <x v="0"/>
    <x v="397"/>
  </r>
  <r>
    <s v="ORD200399"/>
    <x v="334"/>
    <s v="C64641"/>
    <x v="2"/>
    <n v="5"/>
    <n v="423.93"/>
    <s v="319 Main St"/>
    <x v="0"/>
    <x v="2"/>
    <s v="TRK32012588"/>
    <n v="5"/>
    <s v="FREESHIP"/>
    <x v="3"/>
    <x v="398"/>
  </r>
  <r>
    <s v="ORD200400"/>
    <x v="335"/>
    <s v="C56266"/>
    <x v="6"/>
    <n v="4"/>
    <n v="160.22"/>
    <s v="304 Main St"/>
    <x v="0"/>
    <x v="2"/>
    <s v="TRK60088901"/>
    <n v="9"/>
    <s v="WINTER15"/>
    <x v="0"/>
    <x v="399"/>
  </r>
  <r>
    <s v="ORD200401"/>
    <x v="23"/>
    <s v="C98635"/>
    <x v="4"/>
    <n v="1"/>
    <n v="538.67999999999995"/>
    <s v="197 Main St"/>
    <x v="0"/>
    <x v="2"/>
    <s v="TRK14225465"/>
    <n v="6"/>
    <s v="No Coupon"/>
    <x v="1"/>
    <x v="400"/>
  </r>
  <r>
    <s v="ORD200402"/>
    <x v="336"/>
    <s v="C83026"/>
    <x v="4"/>
    <n v="5"/>
    <n v="337.38"/>
    <s v="858 Main St"/>
    <x v="3"/>
    <x v="0"/>
    <s v="TRK79746259"/>
    <n v="5"/>
    <s v="No Coupon"/>
    <x v="1"/>
    <x v="401"/>
  </r>
  <r>
    <s v="ORD200403"/>
    <x v="337"/>
    <s v="C28893"/>
    <x v="2"/>
    <n v="1"/>
    <n v="620.21"/>
    <s v="740 Main St"/>
    <x v="1"/>
    <x v="2"/>
    <s v="TRK98333066"/>
    <n v="1"/>
    <s v="FREESHIP"/>
    <x v="1"/>
    <x v="402"/>
  </r>
  <r>
    <s v="ORD200404"/>
    <x v="338"/>
    <s v="C45482"/>
    <x v="0"/>
    <n v="2"/>
    <n v="99.1"/>
    <s v="440 Main St"/>
    <x v="4"/>
    <x v="3"/>
    <s v="TRK54571699"/>
    <n v="6"/>
    <s v="No Coupon"/>
    <x v="0"/>
    <x v="403"/>
  </r>
  <r>
    <s v="ORD200405"/>
    <x v="281"/>
    <s v="C97774"/>
    <x v="0"/>
    <n v="4"/>
    <n v="451.97"/>
    <s v="603 Main St"/>
    <x v="1"/>
    <x v="1"/>
    <s v="TRK64664424"/>
    <n v="7"/>
    <s v="WINTER15"/>
    <x v="2"/>
    <x v="404"/>
  </r>
  <r>
    <s v="ORD200406"/>
    <x v="339"/>
    <s v="C11657"/>
    <x v="2"/>
    <n v="4"/>
    <n v="66.099999999999994"/>
    <s v="572 Main St"/>
    <x v="4"/>
    <x v="2"/>
    <s v="TRK50284486"/>
    <n v="9"/>
    <s v="WINTER15"/>
    <x v="4"/>
    <x v="405"/>
  </r>
  <r>
    <s v="ORD200407"/>
    <x v="340"/>
    <s v="C85993"/>
    <x v="2"/>
    <n v="4"/>
    <n v="547.32000000000005"/>
    <s v="250 Main St"/>
    <x v="4"/>
    <x v="2"/>
    <s v="TRK72547640"/>
    <n v="8"/>
    <s v="FREESHIP"/>
    <x v="0"/>
    <x v="406"/>
  </r>
  <r>
    <s v="ORD200408"/>
    <x v="341"/>
    <s v="C11906"/>
    <x v="4"/>
    <n v="3"/>
    <n v="412.53"/>
    <s v="536 Main St"/>
    <x v="1"/>
    <x v="4"/>
    <s v="TRK31140158"/>
    <n v="6"/>
    <s v="WINTER15"/>
    <x v="4"/>
    <x v="407"/>
  </r>
  <r>
    <s v="ORD200409"/>
    <x v="342"/>
    <s v="C45187"/>
    <x v="6"/>
    <n v="5"/>
    <n v="84.13"/>
    <s v="767 Main St"/>
    <x v="1"/>
    <x v="3"/>
    <s v="TRK12320793"/>
    <n v="9"/>
    <s v="SAVE10"/>
    <x v="4"/>
    <x v="408"/>
  </r>
  <r>
    <s v="ORD200410"/>
    <x v="343"/>
    <s v="C37375"/>
    <x v="2"/>
    <n v="2"/>
    <n v="518.23"/>
    <s v="184 Main St"/>
    <x v="0"/>
    <x v="0"/>
    <s v="TRK52470162"/>
    <n v="5"/>
    <s v="No Coupon"/>
    <x v="2"/>
    <x v="409"/>
  </r>
  <r>
    <s v="ORD200411"/>
    <x v="83"/>
    <s v="C66567"/>
    <x v="6"/>
    <n v="2"/>
    <n v="39.51"/>
    <s v="981 Main St"/>
    <x v="1"/>
    <x v="0"/>
    <s v="TRK21174822"/>
    <n v="5"/>
    <s v="No Coupon"/>
    <x v="3"/>
    <x v="410"/>
  </r>
  <r>
    <s v="ORD200412"/>
    <x v="344"/>
    <s v="C42451"/>
    <x v="2"/>
    <n v="5"/>
    <n v="133.01"/>
    <s v="246 Main St"/>
    <x v="2"/>
    <x v="2"/>
    <s v="TRK31313343"/>
    <n v="10"/>
    <s v="No Coupon"/>
    <x v="3"/>
    <x v="411"/>
  </r>
  <r>
    <s v="ORD200413"/>
    <x v="345"/>
    <s v="C13923"/>
    <x v="2"/>
    <n v="1"/>
    <n v="118.8"/>
    <s v="123 Main St"/>
    <x v="1"/>
    <x v="3"/>
    <s v="TRK87598790"/>
    <n v="6"/>
    <s v="SAVE10"/>
    <x v="2"/>
    <x v="412"/>
  </r>
  <r>
    <s v="ORD200414"/>
    <x v="346"/>
    <s v="C11829"/>
    <x v="6"/>
    <n v="2"/>
    <n v="139.57"/>
    <s v="797 Main St"/>
    <x v="4"/>
    <x v="3"/>
    <s v="TRK84229257"/>
    <n v="4"/>
    <s v="WINTER15"/>
    <x v="3"/>
    <x v="413"/>
  </r>
  <r>
    <s v="ORD200415"/>
    <x v="161"/>
    <s v="C62169"/>
    <x v="3"/>
    <n v="1"/>
    <n v="184.15"/>
    <s v="655 Main St"/>
    <x v="3"/>
    <x v="0"/>
    <s v="TRK64558985"/>
    <n v="5"/>
    <s v="FREESHIP"/>
    <x v="3"/>
    <x v="414"/>
  </r>
  <r>
    <s v="ORD200416"/>
    <x v="202"/>
    <s v="C20881"/>
    <x v="5"/>
    <n v="2"/>
    <n v="644.04999999999995"/>
    <s v="652 Main St"/>
    <x v="3"/>
    <x v="1"/>
    <s v="TRK26263902"/>
    <n v="5"/>
    <s v="WINTER15"/>
    <x v="1"/>
    <x v="415"/>
  </r>
  <r>
    <s v="ORD200417"/>
    <x v="347"/>
    <s v="C44492"/>
    <x v="5"/>
    <n v="5"/>
    <n v="55.41"/>
    <s v="954 Main St"/>
    <x v="1"/>
    <x v="1"/>
    <s v="TRK51429869"/>
    <n v="5"/>
    <s v="No Coupon"/>
    <x v="4"/>
    <x v="416"/>
  </r>
  <r>
    <s v="ORD200418"/>
    <x v="348"/>
    <s v="C74169"/>
    <x v="4"/>
    <n v="1"/>
    <n v="310.93"/>
    <s v="862 Main St"/>
    <x v="1"/>
    <x v="1"/>
    <s v="TRK66144809"/>
    <n v="3"/>
    <s v="No Coupon"/>
    <x v="3"/>
    <x v="417"/>
  </r>
  <r>
    <s v="ORD200419"/>
    <x v="349"/>
    <s v="C70999"/>
    <x v="2"/>
    <n v="2"/>
    <n v="216.66"/>
    <s v="885 Main St"/>
    <x v="0"/>
    <x v="4"/>
    <s v="TRK75644156"/>
    <n v="6"/>
    <s v="FREESHIP"/>
    <x v="0"/>
    <x v="418"/>
  </r>
  <r>
    <s v="ORD200420"/>
    <x v="350"/>
    <s v="C11921"/>
    <x v="1"/>
    <n v="1"/>
    <n v="452.7"/>
    <s v="439 Main St"/>
    <x v="0"/>
    <x v="0"/>
    <s v="TRK91362635"/>
    <n v="5"/>
    <s v="FREESHIP"/>
    <x v="0"/>
    <x v="419"/>
  </r>
  <r>
    <s v="ORD200421"/>
    <x v="3"/>
    <s v="C50683"/>
    <x v="3"/>
    <n v="2"/>
    <n v="288.20999999999998"/>
    <s v="769 Main St"/>
    <x v="0"/>
    <x v="1"/>
    <s v="TRK53032122"/>
    <n v="5"/>
    <s v="No Coupon"/>
    <x v="2"/>
    <x v="420"/>
  </r>
  <r>
    <s v="ORD200422"/>
    <x v="32"/>
    <s v="C76140"/>
    <x v="1"/>
    <n v="4"/>
    <n v="206.6"/>
    <s v="914 Main St"/>
    <x v="3"/>
    <x v="2"/>
    <s v="TRK25861469"/>
    <n v="6"/>
    <s v="WINTER15"/>
    <x v="1"/>
    <x v="421"/>
  </r>
  <r>
    <s v="ORD200423"/>
    <x v="351"/>
    <s v="C94311"/>
    <x v="4"/>
    <n v="4"/>
    <n v="685.2"/>
    <s v="195 Main St"/>
    <x v="3"/>
    <x v="1"/>
    <s v="TRK97308771"/>
    <n v="6"/>
    <s v="WINTER15"/>
    <x v="4"/>
    <x v="422"/>
  </r>
  <r>
    <s v="ORD200424"/>
    <x v="352"/>
    <s v="C49491"/>
    <x v="3"/>
    <n v="5"/>
    <n v="22.94"/>
    <s v="339 Main St"/>
    <x v="4"/>
    <x v="4"/>
    <s v="TRK64012257"/>
    <n v="10"/>
    <s v="No Coupon"/>
    <x v="2"/>
    <x v="423"/>
  </r>
  <r>
    <s v="ORD200425"/>
    <x v="338"/>
    <s v="C40648"/>
    <x v="5"/>
    <n v="2"/>
    <n v="301.88"/>
    <s v="488 Main St"/>
    <x v="3"/>
    <x v="2"/>
    <s v="TRK25325993"/>
    <n v="5"/>
    <s v="WINTER15"/>
    <x v="2"/>
    <x v="424"/>
  </r>
  <r>
    <s v="ORD200426"/>
    <x v="353"/>
    <s v="C40967"/>
    <x v="0"/>
    <n v="5"/>
    <n v="57.45"/>
    <s v="315 Main St"/>
    <x v="4"/>
    <x v="1"/>
    <s v="TRK24839296"/>
    <n v="10"/>
    <s v="No Coupon"/>
    <x v="3"/>
    <x v="425"/>
  </r>
  <r>
    <s v="ORD200427"/>
    <x v="144"/>
    <s v="C25406"/>
    <x v="6"/>
    <n v="1"/>
    <n v="161.24"/>
    <s v="379 Main St"/>
    <x v="2"/>
    <x v="4"/>
    <s v="TRK70952564"/>
    <n v="3"/>
    <s v="WINTER15"/>
    <x v="0"/>
    <x v="426"/>
  </r>
  <r>
    <s v="ORD200428"/>
    <x v="130"/>
    <s v="C77085"/>
    <x v="3"/>
    <n v="4"/>
    <n v="262.58"/>
    <s v="895 Main St"/>
    <x v="1"/>
    <x v="1"/>
    <s v="TRK57227640"/>
    <n v="8"/>
    <s v="WINTER15"/>
    <x v="2"/>
    <x v="427"/>
  </r>
  <r>
    <s v="ORD200429"/>
    <x v="36"/>
    <s v="C38126"/>
    <x v="4"/>
    <n v="4"/>
    <n v="515.19000000000005"/>
    <s v="522 Main St"/>
    <x v="2"/>
    <x v="4"/>
    <s v="TRK90838498"/>
    <n v="9"/>
    <s v="SAVE10"/>
    <x v="3"/>
    <x v="428"/>
  </r>
  <r>
    <s v="ORD200430"/>
    <x v="323"/>
    <s v="C87448"/>
    <x v="1"/>
    <n v="1"/>
    <n v="450.07"/>
    <s v="433 Main St"/>
    <x v="3"/>
    <x v="0"/>
    <s v="TRK44134016"/>
    <n v="6"/>
    <s v="FREESHIP"/>
    <x v="4"/>
    <x v="429"/>
  </r>
  <r>
    <s v="ORD200431"/>
    <x v="354"/>
    <s v="C62312"/>
    <x v="4"/>
    <n v="1"/>
    <n v="52.54"/>
    <s v="651 Main St"/>
    <x v="0"/>
    <x v="1"/>
    <s v="TRK59623037"/>
    <n v="6"/>
    <s v="WINTER15"/>
    <x v="3"/>
    <x v="430"/>
  </r>
  <r>
    <s v="ORD200432"/>
    <x v="355"/>
    <s v="C58443"/>
    <x v="2"/>
    <n v="2"/>
    <n v="424.32"/>
    <s v="662 Main St"/>
    <x v="2"/>
    <x v="2"/>
    <s v="TRK77163738"/>
    <n v="6"/>
    <s v="No Coupon"/>
    <x v="1"/>
    <x v="431"/>
  </r>
  <r>
    <s v="ORD200433"/>
    <x v="46"/>
    <s v="C36613"/>
    <x v="0"/>
    <n v="3"/>
    <n v="631.64"/>
    <s v="785 Main St"/>
    <x v="2"/>
    <x v="2"/>
    <s v="TRK13282106"/>
    <n v="3"/>
    <s v="FREESHIP"/>
    <x v="3"/>
    <x v="432"/>
  </r>
  <r>
    <s v="ORD200434"/>
    <x v="356"/>
    <s v="C73893"/>
    <x v="4"/>
    <n v="5"/>
    <n v="327.68"/>
    <s v="384 Main St"/>
    <x v="2"/>
    <x v="2"/>
    <s v="TRK85939879"/>
    <n v="6"/>
    <s v="No Coupon"/>
    <x v="3"/>
    <x v="433"/>
  </r>
  <r>
    <s v="ORD200435"/>
    <x v="156"/>
    <s v="C48601"/>
    <x v="4"/>
    <n v="1"/>
    <n v="414.47"/>
    <s v="101 Main St"/>
    <x v="0"/>
    <x v="2"/>
    <s v="TRK97868309"/>
    <n v="3"/>
    <s v="FREESHIP"/>
    <x v="0"/>
    <x v="434"/>
  </r>
  <r>
    <s v="ORD200436"/>
    <x v="91"/>
    <s v="C14568"/>
    <x v="5"/>
    <n v="4"/>
    <n v="221.33"/>
    <s v="651 Main St"/>
    <x v="1"/>
    <x v="4"/>
    <s v="TRK73545796"/>
    <n v="5"/>
    <s v="No Coupon"/>
    <x v="4"/>
    <x v="435"/>
  </r>
  <r>
    <s v="ORD200437"/>
    <x v="171"/>
    <s v="C63378"/>
    <x v="1"/>
    <n v="1"/>
    <n v="512.39"/>
    <s v="955 Main St"/>
    <x v="1"/>
    <x v="3"/>
    <s v="TRK20863705"/>
    <n v="2"/>
    <s v="FREESHIP"/>
    <x v="0"/>
    <x v="436"/>
  </r>
  <r>
    <s v="ORD200438"/>
    <x v="195"/>
    <s v="C77800"/>
    <x v="2"/>
    <n v="3"/>
    <n v="459.34"/>
    <s v="436 Main St"/>
    <x v="3"/>
    <x v="4"/>
    <s v="TRK27439574"/>
    <n v="3"/>
    <s v="SAVE10"/>
    <x v="0"/>
    <x v="437"/>
  </r>
  <r>
    <s v="ORD200439"/>
    <x v="50"/>
    <s v="C91155"/>
    <x v="2"/>
    <n v="1"/>
    <n v="146.32"/>
    <s v="321 Main St"/>
    <x v="1"/>
    <x v="0"/>
    <s v="TRK36260319"/>
    <n v="4"/>
    <s v="WINTER15"/>
    <x v="3"/>
    <x v="438"/>
  </r>
  <r>
    <s v="ORD200440"/>
    <x v="357"/>
    <s v="C60215"/>
    <x v="6"/>
    <n v="4"/>
    <n v="83.6"/>
    <s v="978 Main St"/>
    <x v="0"/>
    <x v="4"/>
    <s v="TRK31727767"/>
    <n v="4"/>
    <s v="SAVE10"/>
    <x v="3"/>
    <x v="439"/>
  </r>
  <r>
    <s v="ORD200441"/>
    <x v="141"/>
    <s v="C52915"/>
    <x v="4"/>
    <n v="2"/>
    <n v="328.54"/>
    <s v="475 Main St"/>
    <x v="3"/>
    <x v="2"/>
    <s v="TRK79466982"/>
    <n v="6"/>
    <s v="FREESHIP"/>
    <x v="2"/>
    <x v="440"/>
  </r>
  <r>
    <s v="ORD200442"/>
    <x v="40"/>
    <s v="C72588"/>
    <x v="3"/>
    <n v="5"/>
    <n v="314.94"/>
    <s v="661 Main St"/>
    <x v="4"/>
    <x v="4"/>
    <s v="TRK43410829"/>
    <n v="8"/>
    <s v="SAVE10"/>
    <x v="0"/>
    <x v="441"/>
  </r>
  <r>
    <s v="ORD200443"/>
    <x v="358"/>
    <s v="C61668"/>
    <x v="3"/>
    <n v="2"/>
    <n v="69.64"/>
    <s v="813 Main St"/>
    <x v="4"/>
    <x v="2"/>
    <s v="TRK58970302"/>
    <n v="6"/>
    <s v="No Coupon"/>
    <x v="3"/>
    <x v="442"/>
  </r>
  <r>
    <s v="ORD200444"/>
    <x v="180"/>
    <s v="C79508"/>
    <x v="4"/>
    <n v="1"/>
    <n v="135.16999999999999"/>
    <s v="585 Main St"/>
    <x v="1"/>
    <x v="0"/>
    <s v="TRK61882353"/>
    <n v="6"/>
    <s v="FREESHIP"/>
    <x v="0"/>
    <x v="443"/>
  </r>
  <r>
    <s v="ORD200445"/>
    <x v="230"/>
    <s v="C94569"/>
    <x v="1"/>
    <n v="1"/>
    <n v="487.21"/>
    <s v="227 Main St"/>
    <x v="4"/>
    <x v="3"/>
    <s v="TRK31351770"/>
    <n v="3"/>
    <s v="SAVE10"/>
    <x v="1"/>
    <x v="444"/>
  </r>
  <r>
    <s v="ORD200446"/>
    <x v="359"/>
    <s v="C89592"/>
    <x v="5"/>
    <n v="5"/>
    <n v="509.58"/>
    <s v="262 Main St"/>
    <x v="1"/>
    <x v="3"/>
    <s v="TRK49442402"/>
    <n v="6"/>
    <s v="FREESHIP"/>
    <x v="0"/>
    <x v="445"/>
  </r>
  <r>
    <s v="ORD200447"/>
    <x v="158"/>
    <s v="C48207"/>
    <x v="4"/>
    <n v="2"/>
    <n v="416.81"/>
    <s v="356 Main St"/>
    <x v="4"/>
    <x v="2"/>
    <s v="TRK45355655"/>
    <n v="2"/>
    <s v="No Coupon"/>
    <x v="3"/>
    <x v="446"/>
  </r>
  <r>
    <s v="ORD200448"/>
    <x v="355"/>
    <s v="C16776"/>
    <x v="5"/>
    <n v="2"/>
    <n v="160"/>
    <s v="854 Main St"/>
    <x v="4"/>
    <x v="4"/>
    <s v="TRK12860600"/>
    <n v="4"/>
    <s v="SAVE10"/>
    <x v="0"/>
    <x v="447"/>
  </r>
  <r>
    <s v="ORD200449"/>
    <x v="360"/>
    <s v="C91518"/>
    <x v="2"/>
    <n v="3"/>
    <n v="253.05"/>
    <s v="286 Main St"/>
    <x v="1"/>
    <x v="4"/>
    <s v="TRK48688724"/>
    <n v="3"/>
    <s v="No Coupon"/>
    <x v="0"/>
    <x v="448"/>
  </r>
  <r>
    <s v="ORD200450"/>
    <x v="361"/>
    <s v="C36408"/>
    <x v="0"/>
    <n v="5"/>
    <n v="615.1"/>
    <s v="160 Main St"/>
    <x v="3"/>
    <x v="2"/>
    <s v="TRK94023253"/>
    <n v="10"/>
    <s v="WINTER15"/>
    <x v="0"/>
    <x v="449"/>
  </r>
  <r>
    <s v="ORD200451"/>
    <x v="362"/>
    <s v="C14837"/>
    <x v="0"/>
    <n v="1"/>
    <n v="183.18"/>
    <s v="647 Main St"/>
    <x v="0"/>
    <x v="1"/>
    <s v="TRK17501136"/>
    <n v="6"/>
    <s v="SAVE10"/>
    <x v="2"/>
    <x v="450"/>
  </r>
  <r>
    <s v="ORD200452"/>
    <x v="363"/>
    <s v="C36467"/>
    <x v="4"/>
    <n v="1"/>
    <n v="75.78"/>
    <s v="581 Main St"/>
    <x v="4"/>
    <x v="4"/>
    <s v="TRK20863987"/>
    <n v="5"/>
    <s v="SAVE10"/>
    <x v="4"/>
    <x v="451"/>
  </r>
  <r>
    <s v="ORD200453"/>
    <x v="201"/>
    <s v="C15017"/>
    <x v="2"/>
    <n v="1"/>
    <n v="675.57"/>
    <s v="492 Main St"/>
    <x v="4"/>
    <x v="0"/>
    <s v="TRK51241924"/>
    <n v="1"/>
    <s v="WINTER15"/>
    <x v="3"/>
    <x v="452"/>
  </r>
  <r>
    <s v="ORD200454"/>
    <x v="364"/>
    <s v="C54759"/>
    <x v="5"/>
    <n v="1"/>
    <n v="109.29"/>
    <s v="686 Main St"/>
    <x v="0"/>
    <x v="1"/>
    <s v="TRK75583042"/>
    <n v="5"/>
    <s v="FREESHIP"/>
    <x v="4"/>
    <x v="453"/>
  </r>
  <r>
    <s v="ORD200455"/>
    <x v="290"/>
    <s v="C58341"/>
    <x v="1"/>
    <n v="1"/>
    <n v="639.83000000000004"/>
    <s v="874 Main St"/>
    <x v="0"/>
    <x v="4"/>
    <s v="TRK32856728"/>
    <n v="2"/>
    <s v="SAVE10"/>
    <x v="1"/>
    <x v="454"/>
  </r>
  <r>
    <s v="ORD200456"/>
    <x v="365"/>
    <s v="C94479"/>
    <x v="6"/>
    <n v="5"/>
    <n v="62.81"/>
    <s v="259 Main St"/>
    <x v="2"/>
    <x v="0"/>
    <s v="TRK69089975"/>
    <n v="9"/>
    <s v="SAVE10"/>
    <x v="3"/>
    <x v="455"/>
  </r>
  <r>
    <s v="ORD200457"/>
    <x v="366"/>
    <s v="C50236"/>
    <x v="6"/>
    <n v="4"/>
    <n v="615.83000000000004"/>
    <s v="545 Main St"/>
    <x v="1"/>
    <x v="2"/>
    <s v="TRK67692578"/>
    <n v="4"/>
    <s v="WINTER15"/>
    <x v="0"/>
    <x v="456"/>
  </r>
  <r>
    <s v="ORD200458"/>
    <x v="367"/>
    <s v="C31412"/>
    <x v="0"/>
    <n v="4"/>
    <n v="510.58"/>
    <s v="196 Main St"/>
    <x v="2"/>
    <x v="2"/>
    <s v="TRK61946127"/>
    <n v="7"/>
    <s v="WINTER15"/>
    <x v="2"/>
    <x v="457"/>
  </r>
  <r>
    <s v="ORD200459"/>
    <x v="25"/>
    <s v="C90142"/>
    <x v="6"/>
    <n v="1"/>
    <n v="334.39"/>
    <s v="433 Main St"/>
    <x v="2"/>
    <x v="2"/>
    <s v="TRK39717191"/>
    <n v="2"/>
    <s v="No Coupon"/>
    <x v="0"/>
    <x v="458"/>
  </r>
  <r>
    <s v="ORD200460"/>
    <x v="354"/>
    <s v="C83548"/>
    <x v="5"/>
    <n v="1"/>
    <n v="144.25"/>
    <s v="474 Main St"/>
    <x v="4"/>
    <x v="2"/>
    <s v="TRK93822942"/>
    <n v="2"/>
    <s v="WINTER15"/>
    <x v="1"/>
    <x v="459"/>
  </r>
  <r>
    <s v="ORD200461"/>
    <x v="180"/>
    <s v="C29697"/>
    <x v="2"/>
    <n v="1"/>
    <n v="401.82"/>
    <s v="407 Main St"/>
    <x v="2"/>
    <x v="0"/>
    <s v="TRK47776482"/>
    <n v="5"/>
    <s v="FREESHIP"/>
    <x v="4"/>
    <x v="460"/>
  </r>
  <r>
    <s v="ORD200462"/>
    <x v="368"/>
    <s v="C22991"/>
    <x v="1"/>
    <n v="1"/>
    <n v="252.68"/>
    <s v="731 Main St"/>
    <x v="1"/>
    <x v="1"/>
    <s v="TRK32796086"/>
    <n v="1"/>
    <s v="No Coupon"/>
    <x v="1"/>
    <x v="461"/>
  </r>
  <r>
    <s v="ORD200463"/>
    <x v="68"/>
    <s v="C25276"/>
    <x v="5"/>
    <n v="5"/>
    <n v="662.78"/>
    <s v="214 Main St"/>
    <x v="0"/>
    <x v="0"/>
    <s v="TRK14011732"/>
    <n v="9"/>
    <s v="SAVE10"/>
    <x v="0"/>
    <x v="462"/>
  </r>
  <r>
    <s v="ORD200464"/>
    <x v="369"/>
    <s v="C39176"/>
    <x v="2"/>
    <n v="4"/>
    <n v="434.42"/>
    <s v="739 Main St"/>
    <x v="1"/>
    <x v="1"/>
    <s v="TRK71418686"/>
    <n v="6"/>
    <s v="FREESHIP"/>
    <x v="4"/>
    <x v="463"/>
  </r>
  <r>
    <s v="ORD200465"/>
    <x v="235"/>
    <s v="C58773"/>
    <x v="4"/>
    <n v="5"/>
    <n v="513.49"/>
    <s v="391 Main St"/>
    <x v="3"/>
    <x v="1"/>
    <s v="TRK65438300"/>
    <n v="8"/>
    <s v="No Coupon"/>
    <x v="4"/>
    <x v="464"/>
  </r>
  <r>
    <s v="ORD200466"/>
    <x v="202"/>
    <s v="C37412"/>
    <x v="1"/>
    <n v="1"/>
    <n v="432.47"/>
    <s v="895 Main St"/>
    <x v="4"/>
    <x v="3"/>
    <s v="TRK97829604"/>
    <n v="4"/>
    <s v="FREESHIP"/>
    <x v="1"/>
    <x v="465"/>
  </r>
  <r>
    <s v="ORD200467"/>
    <x v="225"/>
    <s v="C36492"/>
    <x v="6"/>
    <n v="1"/>
    <n v="45.94"/>
    <s v="572 Main St"/>
    <x v="4"/>
    <x v="1"/>
    <s v="TRK44350440"/>
    <n v="2"/>
    <s v="WINTER15"/>
    <x v="2"/>
    <x v="466"/>
  </r>
  <r>
    <s v="ORD200468"/>
    <x v="370"/>
    <s v="C90110"/>
    <x v="1"/>
    <n v="1"/>
    <n v="418.36"/>
    <s v="998 Main St"/>
    <x v="2"/>
    <x v="3"/>
    <s v="TRK60203957"/>
    <n v="5"/>
    <s v="FREESHIP"/>
    <x v="2"/>
    <x v="467"/>
  </r>
  <r>
    <s v="ORD200469"/>
    <x v="371"/>
    <s v="C13877"/>
    <x v="3"/>
    <n v="5"/>
    <n v="676.98"/>
    <s v="893 Main St"/>
    <x v="4"/>
    <x v="1"/>
    <s v="TRK17254691"/>
    <n v="5"/>
    <s v="No Coupon"/>
    <x v="3"/>
    <x v="468"/>
  </r>
  <r>
    <s v="ORD200470"/>
    <x v="372"/>
    <s v="C25149"/>
    <x v="2"/>
    <n v="4"/>
    <n v="263.62"/>
    <s v="672 Main St"/>
    <x v="4"/>
    <x v="0"/>
    <s v="TRK33538608"/>
    <n v="5"/>
    <s v="SAVE10"/>
    <x v="2"/>
    <x v="469"/>
  </r>
  <r>
    <s v="ORD200471"/>
    <x v="373"/>
    <s v="C52717"/>
    <x v="6"/>
    <n v="5"/>
    <n v="551.27"/>
    <s v="395 Main St"/>
    <x v="1"/>
    <x v="1"/>
    <s v="TRK27625571"/>
    <n v="7"/>
    <s v="FREESHIP"/>
    <x v="1"/>
    <x v="470"/>
  </r>
  <r>
    <s v="ORD200472"/>
    <x v="374"/>
    <s v="C60029"/>
    <x v="3"/>
    <n v="3"/>
    <n v="508.12"/>
    <s v="796 Main St"/>
    <x v="2"/>
    <x v="1"/>
    <s v="TRK86461316"/>
    <n v="8"/>
    <s v="FREESHIP"/>
    <x v="1"/>
    <x v="471"/>
  </r>
  <r>
    <s v="ORD200473"/>
    <x v="86"/>
    <s v="C28552"/>
    <x v="3"/>
    <n v="2"/>
    <n v="14.93"/>
    <s v="449 Main St"/>
    <x v="1"/>
    <x v="0"/>
    <s v="TRK71597160"/>
    <n v="4"/>
    <s v="No Coupon"/>
    <x v="3"/>
    <x v="472"/>
  </r>
  <r>
    <s v="ORD200474"/>
    <x v="375"/>
    <s v="C72293"/>
    <x v="4"/>
    <n v="3"/>
    <n v="229.34"/>
    <s v="398 Main St"/>
    <x v="2"/>
    <x v="0"/>
    <s v="TRK84378003"/>
    <n v="6"/>
    <s v="SAVE10"/>
    <x v="1"/>
    <x v="473"/>
  </r>
  <r>
    <s v="ORD200475"/>
    <x v="373"/>
    <s v="C29844"/>
    <x v="2"/>
    <n v="2"/>
    <n v="438.62"/>
    <s v="363 Main St"/>
    <x v="4"/>
    <x v="1"/>
    <s v="TRK91642337"/>
    <n v="3"/>
    <s v="SAVE10"/>
    <x v="3"/>
    <x v="474"/>
  </r>
  <r>
    <s v="ORD200476"/>
    <x v="361"/>
    <s v="C77872"/>
    <x v="1"/>
    <n v="2"/>
    <n v="513.59"/>
    <s v="867 Main St"/>
    <x v="1"/>
    <x v="2"/>
    <s v="TRK19292184"/>
    <n v="4"/>
    <s v="FREESHIP"/>
    <x v="1"/>
    <x v="475"/>
  </r>
  <r>
    <s v="ORD200477"/>
    <x v="376"/>
    <s v="C56564"/>
    <x v="1"/>
    <n v="2"/>
    <n v="253.74"/>
    <s v="481 Main St"/>
    <x v="1"/>
    <x v="0"/>
    <s v="TRK13166044"/>
    <n v="5"/>
    <s v="SAVE10"/>
    <x v="4"/>
    <x v="476"/>
  </r>
  <r>
    <s v="ORD200478"/>
    <x v="377"/>
    <s v="C16758"/>
    <x v="2"/>
    <n v="3"/>
    <n v="62.77"/>
    <s v="914 Main St"/>
    <x v="3"/>
    <x v="0"/>
    <s v="TRK88544431"/>
    <n v="6"/>
    <s v="FREESHIP"/>
    <x v="1"/>
    <x v="477"/>
  </r>
  <r>
    <s v="ORD200479"/>
    <x v="378"/>
    <s v="C87011"/>
    <x v="0"/>
    <n v="4"/>
    <n v="25.29"/>
    <s v="943 Main St"/>
    <x v="2"/>
    <x v="4"/>
    <s v="TRK21429162"/>
    <n v="8"/>
    <s v="No Coupon"/>
    <x v="4"/>
    <x v="478"/>
  </r>
  <r>
    <s v="ORD200480"/>
    <x v="379"/>
    <s v="C21147"/>
    <x v="3"/>
    <n v="1"/>
    <n v="335.1"/>
    <s v="126 Main St"/>
    <x v="0"/>
    <x v="4"/>
    <s v="TRK93171043"/>
    <n v="6"/>
    <s v="FREESHIP"/>
    <x v="1"/>
    <x v="479"/>
  </r>
  <r>
    <s v="ORD200481"/>
    <x v="295"/>
    <s v="C94568"/>
    <x v="5"/>
    <n v="4"/>
    <n v="484.85"/>
    <s v="317 Main St"/>
    <x v="0"/>
    <x v="3"/>
    <s v="TRK58653915"/>
    <n v="5"/>
    <s v="WINTER15"/>
    <x v="1"/>
    <x v="480"/>
  </r>
  <r>
    <s v="ORD200482"/>
    <x v="380"/>
    <s v="C35852"/>
    <x v="0"/>
    <n v="3"/>
    <n v="381.41"/>
    <s v="989 Main St"/>
    <x v="1"/>
    <x v="4"/>
    <s v="TRK22302049"/>
    <n v="6"/>
    <s v="No Coupon"/>
    <x v="0"/>
    <x v="481"/>
  </r>
  <r>
    <s v="ORD200483"/>
    <x v="381"/>
    <s v="C66462"/>
    <x v="1"/>
    <n v="5"/>
    <n v="347.92"/>
    <s v="982 Main St"/>
    <x v="4"/>
    <x v="4"/>
    <s v="TRK52743700"/>
    <n v="6"/>
    <s v="WINTER15"/>
    <x v="4"/>
    <x v="482"/>
  </r>
  <r>
    <s v="ORD200484"/>
    <x v="382"/>
    <s v="C29092"/>
    <x v="3"/>
    <n v="4"/>
    <n v="15.01"/>
    <s v="767 Main St"/>
    <x v="4"/>
    <x v="1"/>
    <s v="TRK90455340"/>
    <n v="6"/>
    <s v="No Coupon"/>
    <x v="3"/>
    <x v="483"/>
  </r>
  <r>
    <s v="ORD200485"/>
    <x v="383"/>
    <s v="C46651"/>
    <x v="3"/>
    <n v="3"/>
    <n v="404.79"/>
    <s v="764 Main St"/>
    <x v="4"/>
    <x v="0"/>
    <s v="TRK67679195"/>
    <n v="6"/>
    <s v="SAVE10"/>
    <x v="0"/>
    <x v="484"/>
  </r>
  <r>
    <s v="ORD200486"/>
    <x v="384"/>
    <s v="C88981"/>
    <x v="4"/>
    <n v="4"/>
    <n v="611.26"/>
    <s v="558 Main St"/>
    <x v="4"/>
    <x v="0"/>
    <s v="TRK75267873"/>
    <n v="5"/>
    <s v="SAVE10"/>
    <x v="1"/>
    <x v="485"/>
  </r>
  <r>
    <s v="ORD200487"/>
    <x v="338"/>
    <s v="C40136"/>
    <x v="4"/>
    <n v="3"/>
    <n v="346.52"/>
    <s v="211 Main St"/>
    <x v="2"/>
    <x v="4"/>
    <s v="TRK92924852"/>
    <n v="3"/>
    <s v="SAVE10"/>
    <x v="4"/>
    <x v="486"/>
  </r>
  <r>
    <s v="ORD200488"/>
    <x v="194"/>
    <s v="C81573"/>
    <x v="3"/>
    <n v="1"/>
    <n v="36.65"/>
    <s v="556 Main St"/>
    <x v="1"/>
    <x v="1"/>
    <s v="TRK96522994"/>
    <n v="1"/>
    <s v="WINTER15"/>
    <x v="2"/>
    <x v="487"/>
  </r>
  <r>
    <s v="ORD200489"/>
    <x v="189"/>
    <s v="C11940"/>
    <x v="2"/>
    <n v="3"/>
    <n v="149.34"/>
    <s v="589 Main St"/>
    <x v="3"/>
    <x v="1"/>
    <s v="TRK85466461"/>
    <n v="7"/>
    <s v="WINTER15"/>
    <x v="2"/>
    <x v="488"/>
  </r>
  <r>
    <s v="ORD200490"/>
    <x v="319"/>
    <s v="C50097"/>
    <x v="3"/>
    <n v="5"/>
    <n v="467.81"/>
    <s v="539 Main St"/>
    <x v="1"/>
    <x v="1"/>
    <s v="TRK62785150"/>
    <n v="10"/>
    <s v="No Coupon"/>
    <x v="3"/>
    <x v="489"/>
  </r>
  <r>
    <s v="ORD200491"/>
    <x v="314"/>
    <s v="C98168"/>
    <x v="1"/>
    <n v="5"/>
    <n v="420.7"/>
    <s v="481 Main St"/>
    <x v="4"/>
    <x v="4"/>
    <s v="TRK56423359"/>
    <n v="5"/>
    <s v="WINTER15"/>
    <x v="3"/>
    <x v="490"/>
  </r>
  <r>
    <s v="ORD200492"/>
    <x v="385"/>
    <s v="C39074"/>
    <x v="5"/>
    <n v="5"/>
    <n v="606.52"/>
    <s v="103 Main St"/>
    <x v="0"/>
    <x v="0"/>
    <s v="TRK13027036"/>
    <n v="6"/>
    <s v="SAVE10"/>
    <x v="0"/>
    <x v="491"/>
  </r>
  <r>
    <s v="ORD200493"/>
    <x v="386"/>
    <s v="C84908"/>
    <x v="1"/>
    <n v="1"/>
    <n v="420.26"/>
    <s v="372 Main St"/>
    <x v="2"/>
    <x v="4"/>
    <s v="TRK64135970"/>
    <n v="4"/>
    <s v="FREESHIP"/>
    <x v="3"/>
    <x v="492"/>
  </r>
  <r>
    <s v="ORD200494"/>
    <x v="45"/>
    <s v="C64516"/>
    <x v="5"/>
    <n v="3"/>
    <n v="505.79"/>
    <s v="459 Main St"/>
    <x v="0"/>
    <x v="4"/>
    <s v="TRK63920573"/>
    <n v="3"/>
    <s v="FREESHIP"/>
    <x v="1"/>
    <x v="493"/>
  </r>
  <r>
    <s v="ORD200495"/>
    <x v="85"/>
    <s v="C63827"/>
    <x v="1"/>
    <n v="4"/>
    <n v="493.73"/>
    <s v="947 Main St"/>
    <x v="0"/>
    <x v="4"/>
    <s v="TRK35730581"/>
    <n v="6"/>
    <s v="SAVE10"/>
    <x v="3"/>
    <x v="494"/>
  </r>
  <r>
    <s v="ORD200496"/>
    <x v="387"/>
    <s v="C93618"/>
    <x v="4"/>
    <n v="3"/>
    <n v="201.21"/>
    <s v="249 Main St"/>
    <x v="1"/>
    <x v="1"/>
    <s v="TRK66129326"/>
    <n v="3"/>
    <s v="SAVE10"/>
    <x v="4"/>
    <x v="495"/>
  </r>
  <r>
    <s v="ORD200497"/>
    <x v="101"/>
    <s v="C93948"/>
    <x v="4"/>
    <n v="3"/>
    <n v="112.29"/>
    <s v="454 Main St"/>
    <x v="3"/>
    <x v="0"/>
    <s v="TRK77358113"/>
    <n v="6"/>
    <s v="No Coupon"/>
    <x v="4"/>
    <x v="496"/>
  </r>
  <r>
    <s v="ORD200498"/>
    <x v="219"/>
    <s v="C73961"/>
    <x v="2"/>
    <n v="4"/>
    <n v="132.56"/>
    <s v="306 Main St"/>
    <x v="4"/>
    <x v="2"/>
    <s v="TRK32607173"/>
    <n v="8"/>
    <s v="WINTER15"/>
    <x v="0"/>
    <x v="497"/>
  </r>
  <r>
    <s v="ORD200499"/>
    <x v="388"/>
    <s v="C18138"/>
    <x v="4"/>
    <n v="3"/>
    <n v="539.46"/>
    <s v="520 Main St"/>
    <x v="2"/>
    <x v="0"/>
    <s v="TRK20289483"/>
    <n v="4"/>
    <s v="SAVE10"/>
    <x v="3"/>
    <x v="498"/>
  </r>
  <r>
    <s v="ORD200500"/>
    <x v="158"/>
    <s v="C79475"/>
    <x v="5"/>
    <n v="5"/>
    <n v="508.59"/>
    <s v="169 Main St"/>
    <x v="4"/>
    <x v="2"/>
    <s v="TRK42168516"/>
    <n v="8"/>
    <s v="WINTER15"/>
    <x v="3"/>
    <x v="499"/>
  </r>
  <r>
    <s v="ORD200501"/>
    <x v="389"/>
    <s v="C88546"/>
    <x v="6"/>
    <n v="4"/>
    <n v="203.46"/>
    <s v="226 Main St"/>
    <x v="2"/>
    <x v="4"/>
    <s v="TRK19867754"/>
    <n v="7"/>
    <s v="SAVE10"/>
    <x v="1"/>
    <x v="500"/>
  </r>
  <r>
    <s v="ORD200502"/>
    <x v="390"/>
    <s v="C69332"/>
    <x v="0"/>
    <n v="3"/>
    <n v="565.25"/>
    <s v="745 Main St"/>
    <x v="0"/>
    <x v="2"/>
    <s v="TRK65718848"/>
    <n v="7"/>
    <s v="SAVE10"/>
    <x v="2"/>
    <x v="501"/>
  </r>
  <r>
    <s v="ORD200503"/>
    <x v="303"/>
    <s v="C64554"/>
    <x v="2"/>
    <n v="3"/>
    <n v="136.84"/>
    <s v="498 Main St"/>
    <x v="1"/>
    <x v="4"/>
    <s v="TRK95384568"/>
    <n v="4"/>
    <s v="FREESHIP"/>
    <x v="3"/>
    <x v="502"/>
  </r>
  <r>
    <s v="ORD200504"/>
    <x v="113"/>
    <s v="C11676"/>
    <x v="0"/>
    <n v="2"/>
    <n v="464.5"/>
    <s v="805 Main St"/>
    <x v="1"/>
    <x v="1"/>
    <s v="TRK35726395"/>
    <n v="2"/>
    <s v="WINTER15"/>
    <x v="0"/>
    <x v="503"/>
  </r>
  <r>
    <s v="ORD200505"/>
    <x v="236"/>
    <s v="C36014"/>
    <x v="4"/>
    <n v="2"/>
    <n v="434.97"/>
    <s v="558 Main St"/>
    <x v="1"/>
    <x v="0"/>
    <s v="TRK97246526"/>
    <n v="7"/>
    <s v="No Coupon"/>
    <x v="2"/>
    <x v="504"/>
  </r>
  <r>
    <s v="ORD200506"/>
    <x v="284"/>
    <s v="C23279"/>
    <x v="0"/>
    <n v="2"/>
    <n v="43.67"/>
    <s v="696 Main St"/>
    <x v="4"/>
    <x v="2"/>
    <s v="TRK58039693"/>
    <n v="4"/>
    <s v="WINTER15"/>
    <x v="0"/>
    <x v="505"/>
  </r>
  <r>
    <s v="ORD200507"/>
    <x v="176"/>
    <s v="C86481"/>
    <x v="1"/>
    <n v="1"/>
    <n v="171.59"/>
    <s v="546 Main St"/>
    <x v="2"/>
    <x v="4"/>
    <s v="TRK87513944"/>
    <n v="5"/>
    <s v="WINTER15"/>
    <x v="2"/>
    <x v="506"/>
  </r>
  <r>
    <s v="ORD200508"/>
    <x v="391"/>
    <s v="C39550"/>
    <x v="1"/>
    <n v="1"/>
    <n v="558.27"/>
    <s v="976 Main St"/>
    <x v="1"/>
    <x v="3"/>
    <s v="TRK24120267"/>
    <n v="1"/>
    <s v="No Coupon"/>
    <x v="1"/>
    <x v="507"/>
  </r>
  <r>
    <s v="ORD200509"/>
    <x v="392"/>
    <s v="C68937"/>
    <x v="5"/>
    <n v="2"/>
    <n v="425.03"/>
    <s v="560 Main St"/>
    <x v="4"/>
    <x v="2"/>
    <s v="TRK31908657"/>
    <n v="2"/>
    <s v="WINTER15"/>
    <x v="4"/>
    <x v="508"/>
  </r>
  <r>
    <s v="ORD200510"/>
    <x v="393"/>
    <s v="C72533"/>
    <x v="4"/>
    <n v="1"/>
    <n v="376.76"/>
    <s v="389 Main St"/>
    <x v="0"/>
    <x v="3"/>
    <s v="TRK51288986"/>
    <n v="5"/>
    <s v="SAVE10"/>
    <x v="2"/>
    <x v="509"/>
  </r>
  <r>
    <s v="ORD200511"/>
    <x v="394"/>
    <s v="C11415"/>
    <x v="0"/>
    <n v="5"/>
    <n v="575.24"/>
    <s v="267 Main St"/>
    <x v="4"/>
    <x v="3"/>
    <s v="TRK65061457"/>
    <n v="7"/>
    <s v="WINTER15"/>
    <x v="2"/>
    <x v="510"/>
  </r>
  <r>
    <s v="ORD200512"/>
    <x v="395"/>
    <s v="C14114"/>
    <x v="6"/>
    <n v="3"/>
    <n v="568.02"/>
    <s v="856 Main St"/>
    <x v="1"/>
    <x v="4"/>
    <s v="TRK63290700"/>
    <n v="3"/>
    <s v="FREESHIP"/>
    <x v="0"/>
    <x v="511"/>
  </r>
  <r>
    <s v="ORD200513"/>
    <x v="396"/>
    <s v="C64128"/>
    <x v="2"/>
    <n v="3"/>
    <n v="94.88"/>
    <s v="533 Main St"/>
    <x v="3"/>
    <x v="0"/>
    <s v="TRK37053575"/>
    <n v="8"/>
    <s v="No Coupon"/>
    <x v="1"/>
    <x v="512"/>
  </r>
  <r>
    <s v="ORD200514"/>
    <x v="397"/>
    <s v="C15629"/>
    <x v="4"/>
    <n v="3"/>
    <n v="304.14999999999998"/>
    <s v="492 Main St"/>
    <x v="3"/>
    <x v="0"/>
    <s v="TRK64926044"/>
    <n v="3"/>
    <s v="WINTER15"/>
    <x v="0"/>
    <x v="513"/>
  </r>
  <r>
    <s v="ORD200515"/>
    <x v="369"/>
    <s v="C67561"/>
    <x v="1"/>
    <n v="3"/>
    <n v="553.52"/>
    <s v="160 Main St"/>
    <x v="3"/>
    <x v="0"/>
    <s v="TRK75900717"/>
    <n v="4"/>
    <s v="FREESHIP"/>
    <x v="3"/>
    <x v="514"/>
  </r>
  <r>
    <s v="ORD200516"/>
    <x v="158"/>
    <s v="C47022"/>
    <x v="0"/>
    <n v="3"/>
    <n v="166.99"/>
    <s v="208 Main St"/>
    <x v="4"/>
    <x v="2"/>
    <s v="TRK28855040"/>
    <n v="8"/>
    <s v="No Coupon"/>
    <x v="3"/>
    <x v="515"/>
  </r>
  <r>
    <s v="ORD200517"/>
    <x v="398"/>
    <s v="C55205"/>
    <x v="2"/>
    <n v="4"/>
    <n v="198.35"/>
    <s v="943 Main St"/>
    <x v="4"/>
    <x v="1"/>
    <s v="TRK88141634"/>
    <n v="7"/>
    <s v="FREESHIP"/>
    <x v="4"/>
    <x v="516"/>
  </r>
  <r>
    <s v="ORD200518"/>
    <x v="399"/>
    <s v="C30686"/>
    <x v="4"/>
    <n v="4"/>
    <n v="403.58"/>
    <s v="319 Main St"/>
    <x v="1"/>
    <x v="4"/>
    <s v="TRK59807273"/>
    <n v="9"/>
    <s v="SAVE10"/>
    <x v="1"/>
    <x v="517"/>
  </r>
  <r>
    <s v="ORD200519"/>
    <x v="400"/>
    <s v="C71797"/>
    <x v="5"/>
    <n v="4"/>
    <n v="464.29"/>
    <s v="941 Main St"/>
    <x v="0"/>
    <x v="2"/>
    <s v="TRK66010667"/>
    <n v="5"/>
    <s v="SAVE10"/>
    <x v="2"/>
    <x v="518"/>
  </r>
  <r>
    <s v="ORD200520"/>
    <x v="401"/>
    <s v="C66332"/>
    <x v="0"/>
    <n v="3"/>
    <n v="635.98"/>
    <s v="959 Main St"/>
    <x v="4"/>
    <x v="2"/>
    <s v="TRK27063398"/>
    <n v="5"/>
    <s v="No Coupon"/>
    <x v="1"/>
    <x v="519"/>
  </r>
  <r>
    <s v="ORD200521"/>
    <x v="402"/>
    <s v="C82318"/>
    <x v="1"/>
    <n v="1"/>
    <n v="528.05999999999995"/>
    <s v="991 Main St"/>
    <x v="2"/>
    <x v="0"/>
    <s v="TRK37534165"/>
    <n v="2"/>
    <s v="No Coupon"/>
    <x v="3"/>
    <x v="520"/>
  </r>
  <r>
    <s v="ORD200522"/>
    <x v="322"/>
    <s v="C66254"/>
    <x v="3"/>
    <n v="1"/>
    <n v="515.32000000000005"/>
    <s v="740 Main St"/>
    <x v="3"/>
    <x v="1"/>
    <s v="TRK82843861"/>
    <n v="1"/>
    <s v="FREESHIP"/>
    <x v="2"/>
    <x v="521"/>
  </r>
  <r>
    <s v="ORD200523"/>
    <x v="403"/>
    <s v="C65083"/>
    <x v="6"/>
    <n v="4"/>
    <n v="657.79"/>
    <s v="652 Main St"/>
    <x v="2"/>
    <x v="2"/>
    <s v="TRK60937148"/>
    <n v="6"/>
    <s v="WINTER15"/>
    <x v="4"/>
    <x v="522"/>
  </r>
  <r>
    <s v="ORD200524"/>
    <x v="385"/>
    <s v="C44778"/>
    <x v="1"/>
    <n v="1"/>
    <n v="153"/>
    <s v="103 Main St"/>
    <x v="2"/>
    <x v="2"/>
    <s v="TRK92617366"/>
    <n v="4"/>
    <s v="No Coupon"/>
    <x v="1"/>
    <x v="523"/>
  </r>
  <r>
    <s v="ORD200525"/>
    <x v="404"/>
    <s v="C54499"/>
    <x v="0"/>
    <n v="1"/>
    <n v="668.48"/>
    <s v="160 Main St"/>
    <x v="0"/>
    <x v="0"/>
    <s v="TRK18061555"/>
    <n v="1"/>
    <s v="SAVE10"/>
    <x v="2"/>
    <x v="524"/>
  </r>
  <r>
    <s v="ORD200526"/>
    <x v="405"/>
    <s v="C91201"/>
    <x v="6"/>
    <n v="2"/>
    <n v="46.5"/>
    <s v="837 Main St"/>
    <x v="4"/>
    <x v="2"/>
    <s v="TRK63526023"/>
    <n v="7"/>
    <s v="WINTER15"/>
    <x v="4"/>
    <x v="525"/>
  </r>
  <r>
    <s v="ORD200527"/>
    <x v="406"/>
    <s v="C27202"/>
    <x v="3"/>
    <n v="5"/>
    <n v="653.47"/>
    <s v="967 Main St"/>
    <x v="2"/>
    <x v="1"/>
    <s v="TRK75406128"/>
    <n v="10"/>
    <s v="SAVE10"/>
    <x v="1"/>
    <x v="526"/>
  </r>
  <r>
    <s v="ORD200528"/>
    <x v="407"/>
    <s v="C32011"/>
    <x v="3"/>
    <n v="1"/>
    <n v="628.89"/>
    <s v="686 Main St"/>
    <x v="2"/>
    <x v="2"/>
    <s v="TRK70997744"/>
    <n v="2"/>
    <s v="SAVE10"/>
    <x v="1"/>
    <x v="527"/>
  </r>
  <r>
    <s v="ORD200529"/>
    <x v="158"/>
    <s v="C21181"/>
    <x v="2"/>
    <n v="2"/>
    <n v="675.1"/>
    <s v="938 Main St"/>
    <x v="4"/>
    <x v="4"/>
    <s v="TRK50363421"/>
    <n v="4"/>
    <s v="FREESHIP"/>
    <x v="4"/>
    <x v="528"/>
  </r>
  <r>
    <s v="ORD200530"/>
    <x v="408"/>
    <s v="C98450"/>
    <x v="3"/>
    <n v="4"/>
    <n v="89.41"/>
    <s v="613 Main St"/>
    <x v="1"/>
    <x v="4"/>
    <s v="TRK14809530"/>
    <n v="9"/>
    <s v="No Coupon"/>
    <x v="4"/>
    <x v="529"/>
  </r>
  <r>
    <s v="ORD200531"/>
    <x v="367"/>
    <s v="C64502"/>
    <x v="6"/>
    <n v="5"/>
    <n v="320.01"/>
    <s v="722 Main St"/>
    <x v="3"/>
    <x v="3"/>
    <s v="TRK14914388"/>
    <n v="6"/>
    <s v="No Coupon"/>
    <x v="1"/>
    <x v="530"/>
  </r>
  <r>
    <s v="ORD200532"/>
    <x v="120"/>
    <s v="C47365"/>
    <x v="5"/>
    <n v="2"/>
    <n v="41"/>
    <s v="369 Main St"/>
    <x v="1"/>
    <x v="3"/>
    <s v="TRK42207882"/>
    <n v="7"/>
    <s v="No Coupon"/>
    <x v="2"/>
    <x v="531"/>
  </r>
  <r>
    <s v="ORD200533"/>
    <x v="409"/>
    <s v="C66349"/>
    <x v="6"/>
    <n v="1"/>
    <n v="565.85"/>
    <s v="715 Main St"/>
    <x v="3"/>
    <x v="2"/>
    <s v="TRK63550793"/>
    <n v="1"/>
    <s v="FREESHIP"/>
    <x v="3"/>
    <x v="532"/>
  </r>
  <r>
    <s v="ORD200534"/>
    <x v="309"/>
    <s v="C73289"/>
    <x v="3"/>
    <n v="3"/>
    <n v="648.59"/>
    <s v="906 Main St"/>
    <x v="0"/>
    <x v="1"/>
    <s v="TRK70872738"/>
    <n v="4"/>
    <s v="SAVE10"/>
    <x v="2"/>
    <x v="533"/>
  </r>
  <r>
    <s v="ORD200535"/>
    <x v="25"/>
    <s v="C48649"/>
    <x v="0"/>
    <n v="3"/>
    <n v="68.12"/>
    <s v="332 Main St"/>
    <x v="1"/>
    <x v="1"/>
    <s v="TRK45821445"/>
    <n v="3"/>
    <s v="FREESHIP"/>
    <x v="2"/>
    <x v="534"/>
  </r>
  <r>
    <s v="ORD200536"/>
    <x v="410"/>
    <s v="C18724"/>
    <x v="3"/>
    <n v="1"/>
    <n v="616.1"/>
    <s v="124 Main St"/>
    <x v="4"/>
    <x v="2"/>
    <s v="TRK52508861"/>
    <n v="6"/>
    <s v="No Coupon"/>
    <x v="2"/>
    <x v="535"/>
  </r>
  <r>
    <s v="ORD200537"/>
    <x v="411"/>
    <s v="C68553"/>
    <x v="2"/>
    <n v="3"/>
    <n v="247.47"/>
    <s v="385 Main St"/>
    <x v="1"/>
    <x v="3"/>
    <s v="TRK58218971"/>
    <n v="4"/>
    <s v="SAVE10"/>
    <x v="3"/>
    <x v="536"/>
  </r>
  <r>
    <s v="ORD200538"/>
    <x v="75"/>
    <s v="C61280"/>
    <x v="1"/>
    <n v="3"/>
    <n v="490.74"/>
    <s v="100 Main St"/>
    <x v="4"/>
    <x v="0"/>
    <s v="TRK95487711"/>
    <n v="3"/>
    <s v="WINTER15"/>
    <x v="2"/>
    <x v="537"/>
  </r>
  <r>
    <s v="ORD200539"/>
    <x v="403"/>
    <s v="C53277"/>
    <x v="6"/>
    <n v="3"/>
    <n v="531.72"/>
    <s v="473 Main St"/>
    <x v="3"/>
    <x v="3"/>
    <s v="TRK17653832"/>
    <n v="7"/>
    <s v="SAVE10"/>
    <x v="4"/>
    <x v="538"/>
  </r>
  <r>
    <s v="ORD200540"/>
    <x v="412"/>
    <s v="C87281"/>
    <x v="5"/>
    <n v="5"/>
    <n v="648.65"/>
    <s v="852 Main St"/>
    <x v="1"/>
    <x v="4"/>
    <s v="TRK81765057"/>
    <n v="7"/>
    <s v="No Coupon"/>
    <x v="1"/>
    <x v="539"/>
  </r>
  <r>
    <s v="ORD200541"/>
    <x v="413"/>
    <s v="C69009"/>
    <x v="4"/>
    <n v="5"/>
    <n v="456.06"/>
    <s v="879 Main St"/>
    <x v="4"/>
    <x v="4"/>
    <s v="TRK61295842"/>
    <n v="10"/>
    <s v="No Coupon"/>
    <x v="0"/>
    <x v="540"/>
  </r>
  <r>
    <s v="ORD200542"/>
    <x v="414"/>
    <s v="C49726"/>
    <x v="2"/>
    <n v="1"/>
    <n v="17.98"/>
    <s v="934 Main St"/>
    <x v="4"/>
    <x v="1"/>
    <s v="TRK20739460"/>
    <n v="6"/>
    <s v="FREESHIP"/>
    <x v="2"/>
    <x v="541"/>
  </r>
  <r>
    <s v="ORD200543"/>
    <x v="415"/>
    <s v="C37531"/>
    <x v="6"/>
    <n v="5"/>
    <n v="269.86"/>
    <s v="354 Main St"/>
    <x v="4"/>
    <x v="0"/>
    <s v="TRK93877673"/>
    <n v="6"/>
    <s v="WINTER15"/>
    <x v="3"/>
    <x v="542"/>
  </r>
  <r>
    <s v="ORD200544"/>
    <x v="416"/>
    <s v="C48713"/>
    <x v="4"/>
    <n v="5"/>
    <n v="31.96"/>
    <s v="373 Main St"/>
    <x v="2"/>
    <x v="2"/>
    <s v="TRK96334419"/>
    <n v="5"/>
    <s v="FREESHIP"/>
    <x v="1"/>
    <x v="543"/>
  </r>
  <r>
    <s v="ORD200545"/>
    <x v="263"/>
    <s v="C74138"/>
    <x v="0"/>
    <n v="2"/>
    <n v="98.47"/>
    <s v="964 Main St"/>
    <x v="4"/>
    <x v="2"/>
    <s v="TRK74091695"/>
    <n v="3"/>
    <s v="No Coupon"/>
    <x v="0"/>
    <x v="544"/>
  </r>
  <r>
    <s v="ORD200546"/>
    <x v="417"/>
    <s v="C82399"/>
    <x v="0"/>
    <n v="1"/>
    <n v="158.68"/>
    <s v="928 Main St"/>
    <x v="2"/>
    <x v="2"/>
    <s v="TRK77177284"/>
    <n v="6"/>
    <s v="WINTER15"/>
    <x v="0"/>
    <x v="545"/>
  </r>
  <r>
    <s v="ORD200547"/>
    <x v="38"/>
    <s v="C40427"/>
    <x v="1"/>
    <n v="1"/>
    <n v="613.98"/>
    <s v="411 Main St"/>
    <x v="1"/>
    <x v="3"/>
    <s v="TRK25392280"/>
    <n v="4"/>
    <s v="FREESHIP"/>
    <x v="3"/>
    <x v="546"/>
  </r>
  <r>
    <s v="ORD200548"/>
    <x v="80"/>
    <s v="C17103"/>
    <x v="4"/>
    <n v="3"/>
    <n v="426.12"/>
    <s v="922 Main St"/>
    <x v="1"/>
    <x v="3"/>
    <s v="TRK64398650"/>
    <n v="5"/>
    <s v="WINTER15"/>
    <x v="0"/>
    <x v="547"/>
  </r>
  <r>
    <s v="ORD200549"/>
    <x v="86"/>
    <s v="C34266"/>
    <x v="0"/>
    <n v="4"/>
    <n v="629.88"/>
    <s v="550 Main St"/>
    <x v="0"/>
    <x v="1"/>
    <s v="TRK56378197"/>
    <n v="8"/>
    <s v="WINTER15"/>
    <x v="0"/>
    <x v="548"/>
  </r>
  <r>
    <s v="ORD200550"/>
    <x v="418"/>
    <s v="C97485"/>
    <x v="5"/>
    <n v="4"/>
    <n v="228.91"/>
    <s v="573 Main St"/>
    <x v="4"/>
    <x v="0"/>
    <s v="TRK81794737"/>
    <n v="4"/>
    <s v="FREESHIP"/>
    <x v="4"/>
    <x v="549"/>
  </r>
  <r>
    <s v="ORD200551"/>
    <x v="419"/>
    <s v="C23947"/>
    <x v="5"/>
    <n v="1"/>
    <n v="120.98"/>
    <s v="353 Main St"/>
    <x v="0"/>
    <x v="3"/>
    <s v="TRK74812710"/>
    <n v="6"/>
    <s v="WINTER15"/>
    <x v="2"/>
    <x v="550"/>
  </r>
  <r>
    <s v="ORD200552"/>
    <x v="420"/>
    <s v="C21665"/>
    <x v="3"/>
    <n v="4"/>
    <n v="425.18"/>
    <s v="560 Main St"/>
    <x v="1"/>
    <x v="2"/>
    <s v="TRK29890761"/>
    <n v="8"/>
    <s v="WINTER15"/>
    <x v="3"/>
    <x v="551"/>
  </r>
  <r>
    <s v="ORD200553"/>
    <x v="421"/>
    <s v="C82550"/>
    <x v="1"/>
    <n v="2"/>
    <n v="333.83"/>
    <s v="828 Main St"/>
    <x v="3"/>
    <x v="1"/>
    <s v="TRK74103758"/>
    <n v="4"/>
    <s v="FREESHIP"/>
    <x v="1"/>
    <x v="552"/>
  </r>
  <r>
    <s v="ORD200554"/>
    <x v="422"/>
    <s v="C61943"/>
    <x v="5"/>
    <n v="2"/>
    <n v="492.9"/>
    <s v="610 Main St"/>
    <x v="4"/>
    <x v="2"/>
    <s v="TRK66126496"/>
    <n v="5"/>
    <s v="FREESHIP"/>
    <x v="0"/>
    <x v="553"/>
  </r>
  <r>
    <s v="ORD200555"/>
    <x v="33"/>
    <s v="C88933"/>
    <x v="2"/>
    <n v="1"/>
    <n v="92.04"/>
    <s v="333 Main St"/>
    <x v="4"/>
    <x v="0"/>
    <s v="TRK89306964"/>
    <n v="2"/>
    <s v="No Coupon"/>
    <x v="3"/>
    <x v="554"/>
  </r>
  <r>
    <s v="ORD200556"/>
    <x v="423"/>
    <s v="C30923"/>
    <x v="5"/>
    <n v="1"/>
    <n v="654.27"/>
    <s v="932 Main St"/>
    <x v="3"/>
    <x v="4"/>
    <s v="TRK82609328"/>
    <n v="2"/>
    <s v="SAVE10"/>
    <x v="3"/>
    <x v="555"/>
  </r>
  <r>
    <s v="ORD200557"/>
    <x v="282"/>
    <s v="C56969"/>
    <x v="2"/>
    <n v="1"/>
    <n v="56.2"/>
    <s v="130 Main St"/>
    <x v="0"/>
    <x v="4"/>
    <s v="TRK40719215"/>
    <n v="1"/>
    <s v="WINTER15"/>
    <x v="3"/>
    <x v="556"/>
  </r>
  <r>
    <s v="ORD200558"/>
    <x v="424"/>
    <s v="C76766"/>
    <x v="1"/>
    <n v="4"/>
    <n v="628.12"/>
    <s v="485 Main St"/>
    <x v="1"/>
    <x v="3"/>
    <s v="TRK32052962"/>
    <n v="6"/>
    <s v="WINTER15"/>
    <x v="0"/>
    <x v="557"/>
  </r>
  <r>
    <s v="ORD200559"/>
    <x v="116"/>
    <s v="C22981"/>
    <x v="6"/>
    <n v="3"/>
    <n v="157.4"/>
    <s v="454 Main St"/>
    <x v="0"/>
    <x v="1"/>
    <s v="TRK10115285"/>
    <n v="7"/>
    <s v="WINTER15"/>
    <x v="2"/>
    <x v="558"/>
  </r>
  <r>
    <s v="ORD200560"/>
    <x v="425"/>
    <s v="C33634"/>
    <x v="0"/>
    <n v="4"/>
    <n v="588.85"/>
    <s v="524 Main St"/>
    <x v="3"/>
    <x v="4"/>
    <s v="TRK93168008"/>
    <n v="7"/>
    <s v="No Coupon"/>
    <x v="2"/>
    <x v="559"/>
  </r>
  <r>
    <s v="ORD200561"/>
    <x v="425"/>
    <s v="C96822"/>
    <x v="4"/>
    <n v="2"/>
    <n v="494.78"/>
    <s v="198 Main St"/>
    <x v="1"/>
    <x v="0"/>
    <s v="TRK89180077"/>
    <n v="2"/>
    <s v="No Coupon"/>
    <x v="4"/>
    <x v="560"/>
  </r>
  <r>
    <s v="ORD200562"/>
    <x v="426"/>
    <s v="C76675"/>
    <x v="5"/>
    <n v="3"/>
    <n v="663.93"/>
    <s v="922 Main St"/>
    <x v="3"/>
    <x v="2"/>
    <s v="TRK28043915"/>
    <n v="6"/>
    <s v="FREESHIP"/>
    <x v="2"/>
    <x v="561"/>
  </r>
  <r>
    <s v="ORD200563"/>
    <x v="427"/>
    <s v="C12039"/>
    <x v="5"/>
    <n v="1"/>
    <n v="132.68"/>
    <s v="844 Main St"/>
    <x v="0"/>
    <x v="2"/>
    <s v="TRK68645763"/>
    <n v="1"/>
    <s v="SAVE10"/>
    <x v="1"/>
    <x v="562"/>
  </r>
  <r>
    <s v="ORD200564"/>
    <x v="428"/>
    <s v="C93309"/>
    <x v="6"/>
    <n v="5"/>
    <n v="364.28"/>
    <s v="734 Main St"/>
    <x v="2"/>
    <x v="1"/>
    <s v="TRK99446987"/>
    <n v="5"/>
    <s v="WINTER15"/>
    <x v="4"/>
    <x v="563"/>
  </r>
  <r>
    <s v="ORD200565"/>
    <x v="429"/>
    <s v="C62042"/>
    <x v="2"/>
    <n v="5"/>
    <n v="307.98"/>
    <s v="214 Main St"/>
    <x v="1"/>
    <x v="4"/>
    <s v="TRK42605492"/>
    <n v="10"/>
    <s v="No Coupon"/>
    <x v="3"/>
    <x v="564"/>
  </r>
  <r>
    <s v="ORD200566"/>
    <x v="171"/>
    <s v="C83223"/>
    <x v="1"/>
    <n v="4"/>
    <n v="162.71"/>
    <s v="167 Main St"/>
    <x v="4"/>
    <x v="1"/>
    <s v="TRK54339083"/>
    <n v="7"/>
    <s v="FREESHIP"/>
    <x v="2"/>
    <x v="565"/>
  </r>
  <r>
    <s v="ORD200567"/>
    <x v="430"/>
    <s v="C92575"/>
    <x v="3"/>
    <n v="5"/>
    <n v="492.94"/>
    <s v="153 Main St"/>
    <x v="4"/>
    <x v="0"/>
    <s v="TRK53579227"/>
    <n v="10"/>
    <s v="FREESHIP"/>
    <x v="2"/>
    <x v="566"/>
  </r>
  <r>
    <s v="ORD200568"/>
    <x v="401"/>
    <s v="C29072"/>
    <x v="5"/>
    <n v="2"/>
    <n v="343.99"/>
    <s v="312 Main St"/>
    <x v="1"/>
    <x v="3"/>
    <s v="TRK72334047"/>
    <n v="4"/>
    <s v="No Coupon"/>
    <x v="4"/>
    <x v="567"/>
  </r>
  <r>
    <s v="ORD200569"/>
    <x v="29"/>
    <s v="C25783"/>
    <x v="6"/>
    <n v="5"/>
    <n v="250.68"/>
    <s v="672 Main St"/>
    <x v="4"/>
    <x v="0"/>
    <s v="TRK13289741"/>
    <n v="8"/>
    <s v="SAVE10"/>
    <x v="0"/>
    <x v="568"/>
  </r>
  <r>
    <s v="ORD200570"/>
    <x v="431"/>
    <s v="C63727"/>
    <x v="6"/>
    <n v="2"/>
    <n v="362.14"/>
    <s v="122 Main St"/>
    <x v="0"/>
    <x v="4"/>
    <s v="TRK13611021"/>
    <n v="2"/>
    <s v="SAVE10"/>
    <x v="0"/>
    <x v="569"/>
  </r>
  <r>
    <s v="ORD200571"/>
    <x v="432"/>
    <s v="C42365"/>
    <x v="2"/>
    <n v="1"/>
    <n v="214.08"/>
    <s v="867 Main St"/>
    <x v="3"/>
    <x v="2"/>
    <s v="TRK39563288"/>
    <n v="2"/>
    <s v="WINTER15"/>
    <x v="4"/>
    <x v="570"/>
  </r>
  <r>
    <s v="ORD200572"/>
    <x v="433"/>
    <s v="C27438"/>
    <x v="4"/>
    <n v="1"/>
    <n v="70.319999999999993"/>
    <s v="341 Main St"/>
    <x v="4"/>
    <x v="2"/>
    <s v="TRK69125497"/>
    <n v="4"/>
    <s v="WINTER15"/>
    <x v="3"/>
    <x v="571"/>
  </r>
  <r>
    <s v="ORD200573"/>
    <x v="261"/>
    <s v="C13205"/>
    <x v="3"/>
    <n v="5"/>
    <n v="421.42"/>
    <s v="522 Main St"/>
    <x v="0"/>
    <x v="1"/>
    <s v="TRK30686578"/>
    <n v="7"/>
    <s v="No Coupon"/>
    <x v="0"/>
    <x v="572"/>
  </r>
  <r>
    <s v="ORD200574"/>
    <x v="434"/>
    <s v="C29685"/>
    <x v="3"/>
    <n v="5"/>
    <n v="384.69"/>
    <s v="275 Main St"/>
    <x v="2"/>
    <x v="4"/>
    <s v="TRK97733212"/>
    <n v="6"/>
    <s v="FREESHIP"/>
    <x v="2"/>
    <x v="573"/>
  </r>
  <r>
    <s v="ORD200575"/>
    <x v="323"/>
    <s v="C74005"/>
    <x v="3"/>
    <n v="5"/>
    <n v="448.15"/>
    <s v="528 Main St"/>
    <x v="3"/>
    <x v="2"/>
    <s v="TRK61640534"/>
    <n v="7"/>
    <s v="SAVE10"/>
    <x v="4"/>
    <x v="574"/>
  </r>
  <r>
    <s v="ORD200576"/>
    <x v="382"/>
    <s v="C14457"/>
    <x v="5"/>
    <n v="5"/>
    <n v="79.08"/>
    <s v="747 Main St"/>
    <x v="4"/>
    <x v="4"/>
    <s v="TRK42517811"/>
    <n v="8"/>
    <s v="No Coupon"/>
    <x v="3"/>
    <x v="575"/>
  </r>
  <r>
    <s v="ORD200577"/>
    <x v="55"/>
    <s v="C77046"/>
    <x v="2"/>
    <n v="4"/>
    <n v="185.41"/>
    <s v="967 Main St"/>
    <x v="1"/>
    <x v="2"/>
    <s v="TRK44401497"/>
    <n v="9"/>
    <s v="WINTER15"/>
    <x v="4"/>
    <x v="576"/>
  </r>
  <r>
    <s v="ORD200578"/>
    <x v="84"/>
    <s v="C50415"/>
    <x v="0"/>
    <n v="5"/>
    <n v="566.07000000000005"/>
    <s v="587 Main St"/>
    <x v="2"/>
    <x v="3"/>
    <s v="TRK41345634"/>
    <n v="6"/>
    <s v="SAVE10"/>
    <x v="0"/>
    <x v="577"/>
  </r>
  <r>
    <s v="ORD200579"/>
    <x v="243"/>
    <s v="C73999"/>
    <x v="2"/>
    <n v="2"/>
    <n v="187.88"/>
    <s v="413 Main St"/>
    <x v="1"/>
    <x v="0"/>
    <s v="TRK67919507"/>
    <n v="4"/>
    <s v="WINTER15"/>
    <x v="3"/>
    <x v="578"/>
  </r>
  <r>
    <s v="ORD200580"/>
    <x v="414"/>
    <s v="C71076"/>
    <x v="0"/>
    <n v="2"/>
    <n v="255.99"/>
    <s v="340 Main St"/>
    <x v="2"/>
    <x v="3"/>
    <s v="TRK65148292"/>
    <n v="4"/>
    <s v="SAVE10"/>
    <x v="0"/>
    <x v="579"/>
  </r>
  <r>
    <s v="ORD200581"/>
    <x v="435"/>
    <s v="C44674"/>
    <x v="5"/>
    <n v="1"/>
    <n v="627.34"/>
    <s v="942 Main St"/>
    <x v="1"/>
    <x v="3"/>
    <s v="TRK87158684"/>
    <n v="1"/>
    <s v="No Coupon"/>
    <x v="1"/>
    <x v="580"/>
  </r>
  <r>
    <s v="ORD200582"/>
    <x v="436"/>
    <s v="C15228"/>
    <x v="2"/>
    <n v="3"/>
    <n v="474.14"/>
    <s v="558 Main St"/>
    <x v="3"/>
    <x v="0"/>
    <s v="TRK33860620"/>
    <n v="8"/>
    <s v="WINTER15"/>
    <x v="4"/>
    <x v="581"/>
  </r>
  <r>
    <s v="ORD200583"/>
    <x v="437"/>
    <s v="C27072"/>
    <x v="3"/>
    <n v="3"/>
    <n v="154.37"/>
    <s v="996 Main St"/>
    <x v="3"/>
    <x v="3"/>
    <s v="TRK29750379"/>
    <n v="4"/>
    <s v="No Coupon"/>
    <x v="0"/>
    <x v="582"/>
  </r>
  <r>
    <s v="ORD200584"/>
    <x v="438"/>
    <s v="C15257"/>
    <x v="3"/>
    <n v="4"/>
    <n v="145.05000000000001"/>
    <s v="626 Main St"/>
    <x v="1"/>
    <x v="3"/>
    <s v="TRK28779938"/>
    <n v="6"/>
    <s v="SAVE10"/>
    <x v="4"/>
    <x v="583"/>
  </r>
  <r>
    <s v="ORD200585"/>
    <x v="38"/>
    <s v="C91486"/>
    <x v="2"/>
    <n v="4"/>
    <n v="67.08"/>
    <s v="907 Main St"/>
    <x v="4"/>
    <x v="2"/>
    <s v="TRK79617136"/>
    <n v="8"/>
    <s v="WINTER15"/>
    <x v="4"/>
    <x v="584"/>
  </r>
  <r>
    <s v="ORD200586"/>
    <x v="337"/>
    <s v="C17389"/>
    <x v="0"/>
    <n v="1"/>
    <n v="522.08000000000004"/>
    <s v="905 Main St"/>
    <x v="3"/>
    <x v="2"/>
    <s v="TRK98857880"/>
    <n v="5"/>
    <s v="FREESHIP"/>
    <x v="1"/>
    <x v="585"/>
  </r>
  <r>
    <s v="ORD200587"/>
    <x v="439"/>
    <s v="C18820"/>
    <x v="0"/>
    <n v="5"/>
    <n v="514.6"/>
    <s v="347 Main St"/>
    <x v="3"/>
    <x v="3"/>
    <s v="TRK91547425"/>
    <n v="10"/>
    <s v="FREESHIP"/>
    <x v="0"/>
    <x v="586"/>
  </r>
  <r>
    <s v="ORD200588"/>
    <x v="440"/>
    <s v="C61849"/>
    <x v="0"/>
    <n v="4"/>
    <n v="577.82000000000005"/>
    <s v="811 Main St"/>
    <x v="2"/>
    <x v="3"/>
    <s v="TRK47613918"/>
    <n v="9"/>
    <s v="No Coupon"/>
    <x v="4"/>
    <x v="587"/>
  </r>
  <r>
    <s v="ORD200589"/>
    <x v="441"/>
    <s v="C84041"/>
    <x v="5"/>
    <n v="2"/>
    <n v="500.8"/>
    <s v="900 Main St"/>
    <x v="4"/>
    <x v="3"/>
    <s v="TRK84920444"/>
    <n v="3"/>
    <s v="FREESHIP"/>
    <x v="1"/>
    <x v="588"/>
  </r>
  <r>
    <s v="ORD200590"/>
    <x v="442"/>
    <s v="C55757"/>
    <x v="4"/>
    <n v="2"/>
    <n v="461.13"/>
    <s v="175 Main St"/>
    <x v="3"/>
    <x v="2"/>
    <s v="TRK27356242"/>
    <n v="4"/>
    <s v="No Coupon"/>
    <x v="2"/>
    <x v="589"/>
  </r>
  <r>
    <s v="ORD200591"/>
    <x v="249"/>
    <s v="C18187"/>
    <x v="5"/>
    <n v="1"/>
    <n v="605.28"/>
    <s v="470 Main St"/>
    <x v="3"/>
    <x v="0"/>
    <s v="TRK50528185"/>
    <n v="3"/>
    <s v="FREESHIP"/>
    <x v="1"/>
    <x v="590"/>
  </r>
  <r>
    <s v="ORD200592"/>
    <x v="234"/>
    <s v="C42306"/>
    <x v="1"/>
    <n v="3"/>
    <n v="204.27"/>
    <s v="938 Main St"/>
    <x v="1"/>
    <x v="2"/>
    <s v="TRK15499648"/>
    <n v="4"/>
    <s v="No Coupon"/>
    <x v="4"/>
    <x v="591"/>
  </r>
  <r>
    <s v="ORD200593"/>
    <x v="443"/>
    <s v="C51024"/>
    <x v="0"/>
    <n v="1"/>
    <n v="489.8"/>
    <s v="636 Main St"/>
    <x v="3"/>
    <x v="0"/>
    <s v="TRK31375086"/>
    <n v="4"/>
    <s v="FREESHIP"/>
    <x v="3"/>
    <x v="592"/>
  </r>
  <r>
    <s v="ORD200594"/>
    <x v="444"/>
    <s v="C40140"/>
    <x v="1"/>
    <n v="5"/>
    <n v="72.64"/>
    <s v="598 Main St"/>
    <x v="2"/>
    <x v="1"/>
    <s v="TRK12671989"/>
    <n v="7"/>
    <s v="No Coupon"/>
    <x v="2"/>
    <x v="593"/>
  </r>
  <r>
    <s v="ORD200595"/>
    <x v="445"/>
    <s v="C72596"/>
    <x v="4"/>
    <n v="2"/>
    <n v="385.16"/>
    <s v="491 Main St"/>
    <x v="1"/>
    <x v="4"/>
    <s v="TRK83870446"/>
    <n v="7"/>
    <s v="SAVE10"/>
    <x v="2"/>
    <x v="594"/>
  </r>
  <r>
    <s v="ORD200596"/>
    <x v="439"/>
    <s v="C91805"/>
    <x v="6"/>
    <n v="3"/>
    <n v="606.41"/>
    <s v="653 Main St"/>
    <x v="0"/>
    <x v="2"/>
    <s v="TRK34504030"/>
    <n v="7"/>
    <s v="FREESHIP"/>
    <x v="3"/>
    <x v="595"/>
  </r>
  <r>
    <s v="ORD200597"/>
    <x v="446"/>
    <s v="C40538"/>
    <x v="6"/>
    <n v="2"/>
    <n v="211.82"/>
    <s v="700 Main St"/>
    <x v="3"/>
    <x v="1"/>
    <s v="TRK29821356"/>
    <n v="4"/>
    <s v="WINTER15"/>
    <x v="2"/>
    <x v="596"/>
  </r>
  <r>
    <s v="ORD200598"/>
    <x v="447"/>
    <s v="C60329"/>
    <x v="6"/>
    <n v="5"/>
    <n v="495.35"/>
    <s v="826 Main St"/>
    <x v="2"/>
    <x v="4"/>
    <s v="TRK59069987"/>
    <n v="5"/>
    <s v="No Coupon"/>
    <x v="3"/>
    <x v="597"/>
  </r>
  <r>
    <s v="ORD200599"/>
    <x v="30"/>
    <s v="C28740"/>
    <x v="3"/>
    <n v="3"/>
    <n v="556.99"/>
    <s v="123 Main St"/>
    <x v="1"/>
    <x v="1"/>
    <s v="TRK33642221"/>
    <n v="4"/>
    <s v="FREESHIP"/>
    <x v="3"/>
    <x v="598"/>
  </r>
  <r>
    <s v="ORD200600"/>
    <x v="68"/>
    <s v="C87051"/>
    <x v="4"/>
    <n v="1"/>
    <n v="72.31"/>
    <s v="460 Main St"/>
    <x v="3"/>
    <x v="1"/>
    <s v="TRK82056333"/>
    <n v="1"/>
    <s v="FREESHIP"/>
    <x v="3"/>
    <x v="599"/>
  </r>
  <r>
    <s v="ORD200601"/>
    <x v="276"/>
    <s v="C12479"/>
    <x v="0"/>
    <n v="5"/>
    <n v="24.82"/>
    <s v="529 Main St"/>
    <x v="2"/>
    <x v="0"/>
    <s v="TRK73935314"/>
    <n v="10"/>
    <s v="No Coupon"/>
    <x v="1"/>
    <x v="600"/>
  </r>
  <r>
    <s v="ORD200602"/>
    <x v="448"/>
    <s v="C35852"/>
    <x v="2"/>
    <n v="4"/>
    <n v="26.04"/>
    <s v="982 Main St"/>
    <x v="1"/>
    <x v="4"/>
    <s v="TRK64660134"/>
    <n v="5"/>
    <s v="SAVE10"/>
    <x v="0"/>
    <x v="601"/>
  </r>
  <r>
    <s v="ORD200603"/>
    <x v="449"/>
    <s v="C26223"/>
    <x v="2"/>
    <n v="1"/>
    <n v="657.07"/>
    <s v="800 Main St"/>
    <x v="4"/>
    <x v="4"/>
    <s v="TRK50900547"/>
    <n v="4"/>
    <s v="SAVE10"/>
    <x v="4"/>
    <x v="602"/>
  </r>
  <r>
    <s v="ORD200604"/>
    <x v="450"/>
    <s v="C99214"/>
    <x v="3"/>
    <n v="3"/>
    <n v="32.619999999999997"/>
    <s v="252 Main St"/>
    <x v="0"/>
    <x v="3"/>
    <s v="TRK81368481"/>
    <n v="6"/>
    <s v="No Coupon"/>
    <x v="3"/>
    <x v="603"/>
  </r>
  <r>
    <s v="ORD200605"/>
    <x v="451"/>
    <s v="C49605"/>
    <x v="0"/>
    <n v="2"/>
    <n v="228.91"/>
    <s v="892 Main St"/>
    <x v="0"/>
    <x v="0"/>
    <s v="TRK95620066"/>
    <n v="4"/>
    <s v="SAVE10"/>
    <x v="1"/>
    <x v="604"/>
  </r>
  <r>
    <s v="ORD200606"/>
    <x v="119"/>
    <s v="C85018"/>
    <x v="5"/>
    <n v="3"/>
    <n v="274.75"/>
    <s v="783 Main St"/>
    <x v="4"/>
    <x v="1"/>
    <s v="TRK54128886"/>
    <n v="3"/>
    <s v="SAVE10"/>
    <x v="4"/>
    <x v="605"/>
  </r>
  <r>
    <s v="ORD200607"/>
    <x v="133"/>
    <s v="C96434"/>
    <x v="4"/>
    <n v="4"/>
    <n v="634.04999999999995"/>
    <s v="282 Main St"/>
    <x v="4"/>
    <x v="0"/>
    <s v="TRK56730647"/>
    <n v="6"/>
    <s v="SAVE10"/>
    <x v="4"/>
    <x v="606"/>
  </r>
  <r>
    <s v="ORD200608"/>
    <x v="25"/>
    <s v="C32956"/>
    <x v="5"/>
    <n v="5"/>
    <n v="543.16"/>
    <s v="788 Main St"/>
    <x v="1"/>
    <x v="1"/>
    <s v="TRK73140103"/>
    <n v="6"/>
    <s v="SAVE10"/>
    <x v="0"/>
    <x v="607"/>
  </r>
  <r>
    <s v="ORD200609"/>
    <x v="109"/>
    <s v="C41137"/>
    <x v="3"/>
    <n v="3"/>
    <n v="449.13"/>
    <s v="809 Main St"/>
    <x v="4"/>
    <x v="2"/>
    <s v="TRK52732162"/>
    <n v="5"/>
    <s v="WINTER15"/>
    <x v="1"/>
    <x v="608"/>
  </r>
  <r>
    <s v="ORD200610"/>
    <x v="452"/>
    <s v="C60361"/>
    <x v="6"/>
    <n v="5"/>
    <n v="389.62"/>
    <s v="623 Main St"/>
    <x v="4"/>
    <x v="2"/>
    <s v="TRK83566924"/>
    <n v="7"/>
    <s v="FREESHIP"/>
    <x v="3"/>
    <x v="609"/>
  </r>
  <r>
    <s v="ORD200611"/>
    <x v="453"/>
    <s v="C36688"/>
    <x v="6"/>
    <n v="1"/>
    <n v="305.17"/>
    <s v="700 Main St"/>
    <x v="3"/>
    <x v="2"/>
    <s v="TRK35720426"/>
    <n v="3"/>
    <s v="WINTER15"/>
    <x v="1"/>
    <x v="610"/>
  </r>
  <r>
    <s v="ORD200612"/>
    <x v="454"/>
    <s v="C51811"/>
    <x v="3"/>
    <n v="3"/>
    <n v="445.12"/>
    <s v="339 Main St"/>
    <x v="3"/>
    <x v="1"/>
    <s v="TRK82377939"/>
    <n v="8"/>
    <s v="No Coupon"/>
    <x v="4"/>
    <x v="611"/>
  </r>
  <r>
    <s v="ORD200613"/>
    <x v="36"/>
    <s v="C62405"/>
    <x v="5"/>
    <n v="2"/>
    <n v="230.36"/>
    <s v="154 Main St"/>
    <x v="1"/>
    <x v="2"/>
    <s v="TRK14721763"/>
    <n v="4"/>
    <s v="WINTER15"/>
    <x v="2"/>
    <x v="612"/>
  </r>
  <r>
    <s v="ORD200614"/>
    <x v="455"/>
    <s v="C77363"/>
    <x v="1"/>
    <n v="1"/>
    <n v="96.81"/>
    <s v="807 Main St"/>
    <x v="3"/>
    <x v="1"/>
    <s v="TRK12439827"/>
    <n v="3"/>
    <s v="No Coupon"/>
    <x v="1"/>
    <x v="613"/>
  </r>
  <r>
    <s v="ORD200615"/>
    <x v="456"/>
    <s v="C97218"/>
    <x v="0"/>
    <n v="5"/>
    <n v="460.14"/>
    <s v="252 Main St"/>
    <x v="2"/>
    <x v="2"/>
    <s v="TRK52632065"/>
    <n v="10"/>
    <s v="WINTER15"/>
    <x v="3"/>
    <x v="614"/>
  </r>
  <r>
    <s v="ORD200616"/>
    <x v="457"/>
    <s v="C43919"/>
    <x v="2"/>
    <n v="3"/>
    <n v="601.6"/>
    <s v="984 Main St"/>
    <x v="2"/>
    <x v="1"/>
    <s v="TRK73113192"/>
    <n v="7"/>
    <s v="SAVE10"/>
    <x v="3"/>
    <x v="615"/>
  </r>
  <r>
    <s v="ORD200617"/>
    <x v="458"/>
    <s v="C57093"/>
    <x v="2"/>
    <n v="3"/>
    <n v="184.47"/>
    <s v="834 Main St"/>
    <x v="1"/>
    <x v="1"/>
    <s v="TRK75469057"/>
    <n v="4"/>
    <s v="No Coupon"/>
    <x v="1"/>
    <x v="616"/>
  </r>
  <r>
    <s v="ORD200618"/>
    <x v="459"/>
    <s v="C50565"/>
    <x v="2"/>
    <n v="1"/>
    <n v="411.34"/>
    <s v="399 Main St"/>
    <x v="0"/>
    <x v="2"/>
    <s v="TRK97981418"/>
    <n v="5"/>
    <s v="No Coupon"/>
    <x v="0"/>
    <x v="617"/>
  </r>
  <r>
    <s v="ORD200619"/>
    <x v="424"/>
    <s v="C38845"/>
    <x v="5"/>
    <n v="1"/>
    <n v="532.89"/>
    <s v="764 Main St"/>
    <x v="3"/>
    <x v="4"/>
    <s v="TRK47637374"/>
    <n v="2"/>
    <s v="No Coupon"/>
    <x v="1"/>
    <x v="618"/>
  </r>
  <r>
    <s v="ORD200620"/>
    <x v="460"/>
    <s v="C84834"/>
    <x v="2"/>
    <n v="3"/>
    <n v="136.34"/>
    <s v="866 Main St"/>
    <x v="0"/>
    <x v="2"/>
    <s v="TRK90136001"/>
    <n v="8"/>
    <s v="SAVE10"/>
    <x v="1"/>
    <x v="619"/>
  </r>
  <r>
    <s v="ORD200621"/>
    <x v="356"/>
    <s v="C37455"/>
    <x v="1"/>
    <n v="5"/>
    <n v="476.01"/>
    <s v="146 Main St"/>
    <x v="2"/>
    <x v="3"/>
    <s v="TRK82685594"/>
    <n v="7"/>
    <s v="WINTER15"/>
    <x v="4"/>
    <x v="620"/>
  </r>
  <r>
    <s v="ORD200622"/>
    <x v="461"/>
    <s v="C27078"/>
    <x v="6"/>
    <n v="5"/>
    <n v="236.38"/>
    <s v="128 Main St"/>
    <x v="2"/>
    <x v="2"/>
    <s v="TRK89314307"/>
    <n v="7"/>
    <s v="No Coupon"/>
    <x v="3"/>
    <x v="621"/>
  </r>
  <r>
    <s v="ORD200623"/>
    <x v="379"/>
    <s v="C91941"/>
    <x v="4"/>
    <n v="3"/>
    <n v="396"/>
    <s v="269 Main St"/>
    <x v="3"/>
    <x v="1"/>
    <s v="TRK21330732"/>
    <n v="4"/>
    <s v="FREESHIP"/>
    <x v="0"/>
    <x v="622"/>
  </r>
  <r>
    <s v="ORD200624"/>
    <x v="462"/>
    <s v="C25967"/>
    <x v="2"/>
    <n v="5"/>
    <n v="341.96"/>
    <s v="747 Main St"/>
    <x v="0"/>
    <x v="3"/>
    <s v="TRK88559278"/>
    <n v="6"/>
    <s v="No Coupon"/>
    <x v="2"/>
    <x v="623"/>
  </r>
  <r>
    <s v="ORD200625"/>
    <x v="463"/>
    <s v="C22123"/>
    <x v="2"/>
    <n v="1"/>
    <n v="672.89"/>
    <s v="519 Main St"/>
    <x v="2"/>
    <x v="4"/>
    <s v="TRK43250279"/>
    <n v="1"/>
    <s v="WINTER15"/>
    <x v="2"/>
    <x v="624"/>
  </r>
  <r>
    <s v="ORD200626"/>
    <x v="417"/>
    <s v="C45671"/>
    <x v="2"/>
    <n v="2"/>
    <n v="657.48"/>
    <s v="769 Main St"/>
    <x v="1"/>
    <x v="0"/>
    <s v="TRK18179773"/>
    <n v="5"/>
    <s v="SAVE10"/>
    <x v="1"/>
    <x v="625"/>
  </r>
  <r>
    <s v="ORD200627"/>
    <x v="464"/>
    <s v="C53334"/>
    <x v="3"/>
    <n v="3"/>
    <n v="498.68"/>
    <s v="879 Main St"/>
    <x v="1"/>
    <x v="2"/>
    <s v="TRK31724421"/>
    <n v="4"/>
    <s v="FREESHIP"/>
    <x v="2"/>
    <x v="626"/>
  </r>
  <r>
    <s v="ORD200628"/>
    <x v="465"/>
    <s v="C18717"/>
    <x v="4"/>
    <n v="5"/>
    <n v="558.63"/>
    <s v="861 Main St"/>
    <x v="4"/>
    <x v="4"/>
    <s v="TRK58568806"/>
    <n v="8"/>
    <s v="FREESHIP"/>
    <x v="1"/>
    <x v="627"/>
  </r>
  <r>
    <s v="ORD200629"/>
    <x v="466"/>
    <s v="C50137"/>
    <x v="1"/>
    <n v="3"/>
    <n v="19.73"/>
    <s v="840 Main St"/>
    <x v="1"/>
    <x v="4"/>
    <s v="TRK91836131"/>
    <n v="3"/>
    <s v="No Coupon"/>
    <x v="1"/>
    <x v="628"/>
  </r>
  <r>
    <s v="ORD200630"/>
    <x v="467"/>
    <s v="C51481"/>
    <x v="0"/>
    <n v="5"/>
    <n v="248.84"/>
    <s v="140 Main St"/>
    <x v="0"/>
    <x v="1"/>
    <s v="TRK33437701"/>
    <n v="10"/>
    <s v="No Coupon"/>
    <x v="0"/>
    <x v="629"/>
  </r>
  <r>
    <s v="ORD200631"/>
    <x v="169"/>
    <s v="C99128"/>
    <x v="3"/>
    <n v="3"/>
    <n v="46.11"/>
    <s v="360 Main St"/>
    <x v="3"/>
    <x v="2"/>
    <s v="TRK32426808"/>
    <n v="5"/>
    <s v="WINTER15"/>
    <x v="1"/>
    <x v="630"/>
  </r>
  <r>
    <s v="ORD200632"/>
    <x v="468"/>
    <s v="C67260"/>
    <x v="5"/>
    <n v="5"/>
    <n v="678.16"/>
    <s v="463 Main St"/>
    <x v="3"/>
    <x v="3"/>
    <s v="TRK38229104"/>
    <n v="7"/>
    <s v="WINTER15"/>
    <x v="3"/>
    <x v="631"/>
  </r>
  <r>
    <s v="ORD200633"/>
    <x v="294"/>
    <s v="C79533"/>
    <x v="5"/>
    <n v="5"/>
    <n v="601.72"/>
    <s v="921 Main St"/>
    <x v="3"/>
    <x v="1"/>
    <s v="TRK54711422"/>
    <n v="5"/>
    <s v="WINTER15"/>
    <x v="0"/>
    <x v="632"/>
  </r>
  <r>
    <s v="ORD200634"/>
    <x v="313"/>
    <s v="C66906"/>
    <x v="4"/>
    <n v="2"/>
    <n v="259.32"/>
    <s v="117 Main St"/>
    <x v="3"/>
    <x v="3"/>
    <s v="TRK31633755"/>
    <n v="2"/>
    <s v="WINTER15"/>
    <x v="1"/>
    <x v="633"/>
  </r>
  <r>
    <s v="ORD200635"/>
    <x v="141"/>
    <s v="C12818"/>
    <x v="3"/>
    <n v="3"/>
    <n v="63.68"/>
    <s v="434 Main St"/>
    <x v="4"/>
    <x v="2"/>
    <s v="TRK40879983"/>
    <n v="6"/>
    <s v="No Coupon"/>
    <x v="3"/>
    <x v="634"/>
  </r>
  <r>
    <s v="ORD200636"/>
    <x v="469"/>
    <s v="C60384"/>
    <x v="5"/>
    <n v="4"/>
    <n v="371.07"/>
    <s v="336 Main St"/>
    <x v="4"/>
    <x v="1"/>
    <s v="TRK92080037"/>
    <n v="7"/>
    <s v="WINTER15"/>
    <x v="3"/>
    <x v="635"/>
  </r>
  <r>
    <s v="ORD200637"/>
    <x v="470"/>
    <s v="C92294"/>
    <x v="3"/>
    <n v="4"/>
    <n v="306.35000000000002"/>
    <s v="784 Main St"/>
    <x v="3"/>
    <x v="0"/>
    <s v="TRK23585765"/>
    <n v="7"/>
    <s v="WINTER15"/>
    <x v="1"/>
    <x v="636"/>
  </r>
  <r>
    <s v="ORD200638"/>
    <x v="3"/>
    <s v="C66840"/>
    <x v="2"/>
    <n v="4"/>
    <n v="578.27"/>
    <s v="547 Main St"/>
    <x v="1"/>
    <x v="3"/>
    <s v="TRK76929637"/>
    <n v="9"/>
    <s v="WINTER15"/>
    <x v="2"/>
    <x v="637"/>
  </r>
  <r>
    <s v="ORD200639"/>
    <x v="325"/>
    <s v="C22534"/>
    <x v="3"/>
    <n v="1"/>
    <n v="529.19000000000005"/>
    <s v="391 Main St"/>
    <x v="4"/>
    <x v="1"/>
    <s v="TRK17415798"/>
    <n v="5"/>
    <s v="No Coupon"/>
    <x v="1"/>
    <x v="638"/>
  </r>
  <r>
    <s v="ORD200640"/>
    <x v="2"/>
    <s v="C46509"/>
    <x v="3"/>
    <n v="2"/>
    <n v="587.49"/>
    <s v="647 Main St"/>
    <x v="3"/>
    <x v="2"/>
    <s v="TRK24241664"/>
    <n v="6"/>
    <s v="SAVE10"/>
    <x v="1"/>
    <x v="639"/>
  </r>
  <r>
    <s v="ORD200641"/>
    <x v="471"/>
    <s v="C71680"/>
    <x v="4"/>
    <n v="4"/>
    <n v="567.57000000000005"/>
    <s v="814 Main St"/>
    <x v="0"/>
    <x v="4"/>
    <s v="TRK47386650"/>
    <n v="9"/>
    <s v="WINTER15"/>
    <x v="4"/>
    <x v="640"/>
  </r>
  <r>
    <s v="ORD200642"/>
    <x v="472"/>
    <s v="C15063"/>
    <x v="3"/>
    <n v="5"/>
    <n v="85.22"/>
    <s v="527 Main St"/>
    <x v="2"/>
    <x v="1"/>
    <s v="TRK10329390"/>
    <n v="7"/>
    <s v="FREESHIP"/>
    <x v="2"/>
    <x v="641"/>
  </r>
  <r>
    <s v="ORD200643"/>
    <x v="360"/>
    <s v="C77122"/>
    <x v="5"/>
    <n v="1"/>
    <n v="438.37"/>
    <s v="647 Main St"/>
    <x v="4"/>
    <x v="1"/>
    <s v="TRK75814880"/>
    <n v="4"/>
    <s v="SAVE10"/>
    <x v="1"/>
    <x v="642"/>
  </r>
  <r>
    <s v="ORD200644"/>
    <x v="375"/>
    <s v="C86524"/>
    <x v="3"/>
    <n v="2"/>
    <n v="366.23"/>
    <s v="961 Main St"/>
    <x v="4"/>
    <x v="0"/>
    <s v="TRK62490506"/>
    <n v="2"/>
    <s v="WINTER15"/>
    <x v="2"/>
    <x v="643"/>
  </r>
  <r>
    <s v="ORD200645"/>
    <x v="315"/>
    <s v="C82990"/>
    <x v="5"/>
    <n v="2"/>
    <n v="150.05000000000001"/>
    <s v="727 Main St"/>
    <x v="2"/>
    <x v="1"/>
    <s v="TRK68574801"/>
    <n v="4"/>
    <s v="SAVE10"/>
    <x v="3"/>
    <x v="644"/>
  </r>
  <r>
    <s v="ORD200646"/>
    <x v="122"/>
    <s v="C98761"/>
    <x v="3"/>
    <n v="4"/>
    <n v="498.51"/>
    <s v="804 Main St"/>
    <x v="0"/>
    <x v="0"/>
    <s v="TRK43262630"/>
    <n v="4"/>
    <s v="SAVE10"/>
    <x v="4"/>
    <x v="645"/>
  </r>
  <r>
    <s v="ORD200647"/>
    <x v="473"/>
    <s v="C54409"/>
    <x v="6"/>
    <n v="3"/>
    <n v="339.39"/>
    <s v="667 Main St"/>
    <x v="4"/>
    <x v="2"/>
    <s v="TRK67671316"/>
    <n v="7"/>
    <s v="FREESHIP"/>
    <x v="4"/>
    <x v="646"/>
  </r>
  <r>
    <s v="ORD200648"/>
    <x v="474"/>
    <s v="C89674"/>
    <x v="0"/>
    <n v="2"/>
    <n v="575.83000000000004"/>
    <s v="182 Main St"/>
    <x v="1"/>
    <x v="3"/>
    <s v="TRK45902512"/>
    <n v="3"/>
    <s v="WINTER15"/>
    <x v="1"/>
    <x v="647"/>
  </r>
  <r>
    <s v="ORD200649"/>
    <x v="475"/>
    <s v="C45899"/>
    <x v="0"/>
    <n v="2"/>
    <n v="642.98"/>
    <s v="153 Main St"/>
    <x v="0"/>
    <x v="2"/>
    <s v="TRK32932093"/>
    <n v="7"/>
    <s v="FREESHIP"/>
    <x v="2"/>
    <x v="648"/>
  </r>
  <r>
    <s v="ORD200650"/>
    <x v="419"/>
    <s v="C74499"/>
    <x v="6"/>
    <n v="2"/>
    <n v="372.23"/>
    <s v="518 Main St"/>
    <x v="3"/>
    <x v="3"/>
    <s v="TRK93767278"/>
    <n v="7"/>
    <s v="SAVE10"/>
    <x v="2"/>
    <x v="649"/>
  </r>
  <r>
    <s v="ORD200651"/>
    <x v="476"/>
    <s v="C81192"/>
    <x v="3"/>
    <n v="3"/>
    <n v="646.34"/>
    <s v="429 Main St"/>
    <x v="0"/>
    <x v="4"/>
    <s v="TRK76931118"/>
    <n v="5"/>
    <s v="No Coupon"/>
    <x v="4"/>
    <x v="650"/>
  </r>
  <r>
    <s v="ORD200652"/>
    <x v="477"/>
    <s v="C71473"/>
    <x v="3"/>
    <n v="5"/>
    <n v="341.84"/>
    <s v="328 Main St"/>
    <x v="1"/>
    <x v="0"/>
    <s v="TRK94857335"/>
    <n v="8"/>
    <s v="FREESHIP"/>
    <x v="0"/>
    <x v="651"/>
  </r>
  <r>
    <s v="ORD200653"/>
    <x v="402"/>
    <s v="C59338"/>
    <x v="4"/>
    <n v="3"/>
    <n v="690.3"/>
    <s v="747 Main St"/>
    <x v="2"/>
    <x v="0"/>
    <s v="TRK12902764"/>
    <n v="6"/>
    <s v="WINTER15"/>
    <x v="4"/>
    <x v="652"/>
  </r>
  <r>
    <s v="ORD200654"/>
    <x v="439"/>
    <s v="C62661"/>
    <x v="2"/>
    <n v="3"/>
    <n v="382.37"/>
    <s v="863 Main St"/>
    <x v="0"/>
    <x v="2"/>
    <s v="TRK25748100"/>
    <n v="8"/>
    <s v="No Coupon"/>
    <x v="0"/>
    <x v="653"/>
  </r>
  <r>
    <s v="ORD200655"/>
    <x v="369"/>
    <s v="C22101"/>
    <x v="3"/>
    <n v="2"/>
    <n v="132.6"/>
    <s v="262 Main St"/>
    <x v="0"/>
    <x v="1"/>
    <s v="TRK70711522"/>
    <n v="4"/>
    <s v="WINTER15"/>
    <x v="2"/>
    <x v="654"/>
  </r>
  <r>
    <s v="ORD200656"/>
    <x v="343"/>
    <s v="C51404"/>
    <x v="0"/>
    <n v="2"/>
    <n v="189.06"/>
    <s v="835 Main St"/>
    <x v="3"/>
    <x v="0"/>
    <s v="TRK85682500"/>
    <n v="7"/>
    <s v="SAVE10"/>
    <x v="3"/>
    <x v="655"/>
  </r>
  <r>
    <s v="ORD200657"/>
    <x v="478"/>
    <s v="C19384"/>
    <x v="2"/>
    <n v="4"/>
    <n v="87.79"/>
    <s v="532 Main St"/>
    <x v="4"/>
    <x v="1"/>
    <s v="TRK33207064"/>
    <n v="6"/>
    <s v="FREESHIP"/>
    <x v="0"/>
    <x v="656"/>
  </r>
  <r>
    <s v="ORD200658"/>
    <x v="479"/>
    <s v="C86864"/>
    <x v="4"/>
    <n v="2"/>
    <n v="46.36"/>
    <s v="670 Main St"/>
    <x v="3"/>
    <x v="2"/>
    <s v="TRK15323191"/>
    <n v="4"/>
    <s v="SAVE10"/>
    <x v="4"/>
    <x v="657"/>
  </r>
  <r>
    <s v="ORD200659"/>
    <x v="480"/>
    <s v="C24301"/>
    <x v="1"/>
    <n v="2"/>
    <n v="642.04"/>
    <s v="964 Main St"/>
    <x v="3"/>
    <x v="3"/>
    <s v="TRK55000075"/>
    <n v="4"/>
    <s v="WINTER15"/>
    <x v="2"/>
    <x v="658"/>
  </r>
  <r>
    <s v="ORD200660"/>
    <x v="481"/>
    <s v="C43842"/>
    <x v="3"/>
    <n v="2"/>
    <n v="651.57000000000005"/>
    <s v="933 Main St"/>
    <x v="0"/>
    <x v="0"/>
    <s v="TRK54084424"/>
    <n v="7"/>
    <s v="WINTER15"/>
    <x v="3"/>
    <x v="659"/>
  </r>
  <r>
    <s v="ORD200661"/>
    <x v="252"/>
    <s v="C63657"/>
    <x v="2"/>
    <n v="3"/>
    <n v="424.89"/>
    <s v="116 Main St"/>
    <x v="0"/>
    <x v="1"/>
    <s v="TRK86378984"/>
    <n v="6"/>
    <s v="FREESHIP"/>
    <x v="4"/>
    <x v="660"/>
  </r>
  <r>
    <s v="ORD200662"/>
    <x v="423"/>
    <s v="C98332"/>
    <x v="5"/>
    <n v="3"/>
    <n v="438.89"/>
    <s v="985 Main St"/>
    <x v="4"/>
    <x v="2"/>
    <s v="TRK85744797"/>
    <n v="3"/>
    <s v="No Coupon"/>
    <x v="3"/>
    <x v="661"/>
  </r>
  <r>
    <s v="ORD200663"/>
    <x v="116"/>
    <s v="C59774"/>
    <x v="0"/>
    <n v="1"/>
    <n v="72.599999999999994"/>
    <s v="941 Main St"/>
    <x v="0"/>
    <x v="1"/>
    <s v="TRK87635135"/>
    <n v="6"/>
    <s v="FREESHIP"/>
    <x v="0"/>
    <x v="662"/>
  </r>
  <r>
    <s v="ORD200664"/>
    <x v="36"/>
    <s v="C14847"/>
    <x v="5"/>
    <n v="4"/>
    <n v="194.75"/>
    <s v="188 Main St"/>
    <x v="4"/>
    <x v="0"/>
    <s v="TRK46492755"/>
    <n v="5"/>
    <s v="No Coupon"/>
    <x v="3"/>
    <x v="663"/>
  </r>
  <r>
    <s v="ORD200665"/>
    <x v="468"/>
    <s v="C83653"/>
    <x v="2"/>
    <n v="4"/>
    <n v="231.26"/>
    <s v="253 Main St"/>
    <x v="1"/>
    <x v="0"/>
    <s v="TRK32619935"/>
    <n v="6"/>
    <s v="WINTER15"/>
    <x v="4"/>
    <x v="664"/>
  </r>
  <r>
    <s v="ORD200666"/>
    <x v="169"/>
    <s v="C35711"/>
    <x v="0"/>
    <n v="4"/>
    <n v="327.12"/>
    <s v="788 Main St"/>
    <x v="2"/>
    <x v="1"/>
    <s v="TRK45281495"/>
    <n v="4"/>
    <s v="No Coupon"/>
    <x v="2"/>
    <x v="665"/>
  </r>
  <r>
    <s v="ORD200667"/>
    <x v="71"/>
    <s v="C10477"/>
    <x v="5"/>
    <n v="1"/>
    <n v="466.42"/>
    <s v="172 Main St"/>
    <x v="3"/>
    <x v="4"/>
    <s v="TRK41505339"/>
    <n v="5"/>
    <s v="SAVE10"/>
    <x v="2"/>
    <x v="666"/>
  </r>
  <r>
    <s v="ORD200668"/>
    <x v="482"/>
    <s v="C61257"/>
    <x v="0"/>
    <n v="2"/>
    <n v="253.67"/>
    <s v="981 Main St"/>
    <x v="4"/>
    <x v="2"/>
    <s v="TRK25226070"/>
    <n v="3"/>
    <s v="WINTER15"/>
    <x v="3"/>
    <x v="667"/>
  </r>
  <r>
    <s v="ORD200669"/>
    <x v="483"/>
    <s v="C60547"/>
    <x v="6"/>
    <n v="1"/>
    <n v="257"/>
    <s v="812 Main St"/>
    <x v="0"/>
    <x v="1"/>
    <s v="TRK65694249"/>
    <n v="5"/>
    <s v="No Coupon"/>
    <x v="1"/>
    <x v="668"/>
  </r>
  <r>
    <s v="ORD200670"/>
    <x v="171"/>
    <s v="C14576"/>
    <x v="6"/>
    <n v="4"/>
    <n v="539.20000000000005"/>
    <s v="747 Main St"/>
    <x v="2"/>
    <x v="4"/>
    <s v="TRK21637540"/>
    <n v="8"/>
    <s v="FREESHIP"/>
    <x v="4"/>
    <x v="669"/>
  </r>
  <r>
    <s v="ORD200671"/>
    <x v="484"/>
    <s v="C49282"/>
    <x v="3"/>
    <n v="5"/>
    <n v="50.74"/>
    <s v="737 Main St"/>
    <x v="3"/>
    <x v="1"/>
    <s v="TRK88653901"/>
    <n v="7"/>
    <s v="WINTER15"/>
    <x v="4"/>
    <x v="670"/>
  </r>
  <r>
    <s v="ORD200672"/>
    <x v="221"/>
    <s v="C14017"/>
    <x v="1"/>
    <n v="2"/>
    <n v="624.16"/>
    <s v="984 Main St"/>
    <x v="0"/>
    <x v="0"/>
    <s v="TRK71009446"/>
    <n v="2"/>
    <s v="SAVE10"/>
    <x v="0"/>
    <x v="671"/>
  </r>
  <r>
    <s v="ORD200673"/>
    <x v="485"/>
    <s v="C46504"/>
    <x v="2"/>
    <n v="2"/>
    <n v="372.92"/>
    <s v="131 Main St"/>
    <x v="2"/>
    <x v="3"/>
    <s v="TRK95024356"/>
    <n v="7"/>
    <s v="SAVE10"/>
    <x v="2"/>
    <x v="672"/>
  </r>
  <r>
    <s v="ORD200674"/>
    <x v="486"/>
    <s v="C56928"/>
    <x v="5"/>
    <n v="4"/>
    <n v="358.75"/>
    <s v="860 Main St"/>
    <x v="3"/>
    <x v="3"/>
    <s v="TRK57792939"/>
    <n v="9"/>
    <s v="SAVE10"/>
    <x v="3"/>
    <x v="673"/>
  </r>
  <r>
    <s v="ORD200675"/>
    <x v="76"/>
    <s v="C97749"/>
    <x v="6"/>
    <n v="3"/>
    <n v="342.02"/>
    <s v="906 Main St"/>
    <x v="0"/>
    <x v="4"/>
    <s v="TRK90233116"/>
    <n v="5"/>
    <s v="No Coupon"/>
    <x v="2"/>
    <x v="674"/>
  </r>
  <r>
    <s v="ORD200676"/>
    <x v="127"/>
    <s v="C90431"/>
    <x v="5"/>
    <n v="2"/>
    <n v="422.34"/>
    <s v="985 Main St"/>
    <x v="2"/>
    <x v="1"/>
    <s v="TRK44151723"/>
    <n v="4"/>
    <s v="FREESHIP"/>
    <x v="0"/>
    <x v="675"/>
  </r>
  <r>
    <s v="ORD200677"/>
    <x v="487"/>
    <s v="C56722"/>
    <x v="2"/>
    <n v="5"/>
    <n v="22.07"/>
    <s v="179 Main St"/>
    <x v="1"/>
    <x v="1"/>
    <s v="TRK78778569"/>
    <n v="7"/>
    <s v="FREESHIP"/>
    <x v="0"/>
    <x v="676"/>
  </r>
  <r>
    <s v="ORD200678"/>
    <x v="167"/>
    <s v="C40863"/>
    <x v="3"/>
    <n v="3"/>
    <n v="163.13"/>
    <s v="457 Main St"/>
    <x v="3"/>
    <x v="0"/>
    <s v="TRK20553345"/>
    <n v="5"/>
    <s v="WINTER15"/>
    <x v="3"/>
    <x v="677"/>
  </r>
  <r>
    <s v="ORD200679"/>
    <x v="488"/>
    <s v="C40798"/>
    <x v="2"/>
    <n v="3"/>
    <n v="360.66"/>
    <s v="304 Main St"/>
    <x v="1"/>
    <x v="2"/>
    <s v="TRK66106697"/>
    <n v="5"/>
    <s v="FREESHIP"/>
    <x v="0"/>
    <x v="678"/>
  </r>
  <r>
    <s v="ORD200680"/>
    <x v="183"/>
    <s v="C16702"/>
    <x v="0"/>
    <n v="3"/>
    <n v="463.39"/>
    <s v="694 Main St"/>
    <x v="2"/>
    <x v="2"/>
    <s v="TRK16953491"/>
    <n v="3"/>
    <s v="No Coupon"/>
    <x v="3"/>
    <x v="679"/>
  </r>
  <r>
    <s v="ORD200681"/>
    <x v="489"/>
    <s v="C38262"/>
    <x v="2"/>
    <n v="1"/>
    <n v="155.27000000000001"/>
    <s v="548 Main St"/>
    <x v="0"/>
    <x v="0"/>
    <s v="TRK47300502"/>
    <n v="6"/>
    <s v="No Coupon"/>
    <x v="2"/>
    <x v="680"/>
  </r>
  <r>
    <s v="ORD200682"/>
    <x v="363"/>
    <s v="C50274"/>
    <x v="0"/>
    <n v="3"/>
    <n v="509.42"/>
    <s v="449 Main St"/>
    <x v="2"/>
    <x v="1"/>
    <s v="TRK91729086"/>
    <n v="5"/>
    <s v="FREESHIP"/>
    <x v="4"/>
    <x v="681"/>
  </r>
  <r>
    <s v="ORD200683"/>
    <x v="490"/>
    <s v="C91591"/>
    <x v="6"/>
    <n v="4"/>
    <n v="652.48"/>
    <s v="887 Main St"/>
    <x v="4"/>
    <x v="4"/>
    <s v="TRK23554043"/>
    <n v="5"/>
    <s v="FREESHIP"/>
    <x v="0"/>
    <x v="682"/>
  </r>
  <r>
    <s v="ORD200684"/>
    <x v="491"/>
    <s v="C96583"/>
    <x v="4"/>
    <n v="4"/>
    <n v="34.840000000000003"/>
    <s v="288 Main St"/>
    <x v="2"/>
    <x v="0"/>
    <s v="TRK64353241"/>
    <n v="8"/>
    <s v="No Coupon"/>
    <x v="2"/>
    <x v="683"/>
  </r>
  <r>
    <s v="ORD200685"/>
    <x v="492"/>
    <s v="C64579"/>
    <x v="6"/>
    <n v="1"/>
    <n v="234.37"/>
    <s v="638 Main St"/>
    <x v="0"/>
    <x v="0"/>
    <s v="TRK10276565"/>
    <n v="5"/>
    <s v="FREESHIP"/>
    <x v="2"/>
    <x v="684"/>
  </r>
  <r>
    <s v="ORD200686"/>
    <x v="112"/>
    <s v="C41903"/>
    <x v="6"/>
    <n v="3"/>
    <n v="53.6"/>
    <s v="525 Main St"/>
    <x v="4"/>
    <x v="4"/>
    <s v="TRK59112382"/>
    <n v="4"/>
    <s v="WINTER15"/>
    <x v="3"/>
    <x v="685"/>
  </r>
  <r>
    <s v="ORD200687"/>
    <x v="493"/>
    <s v="C19742"/>
    <x v="2"/>
    <n v="1"/>
    <n v="332.09"/>
    <s v="408 Main St"/>
    <x v="3"/>
    <x v="2"/>
    <s v="TRK68845230"/>
    <n v="5"/>
    <s v="FREESHIP"/>
    <x v="0"/>
    <x v="686"/>
  </r>
  <r>
    <s v="ORD200688"/>
    <x v="26"/>
    <s v="C20077"/>
    <x v="0"/>
    <n v="4"/>
    <n v="593.22"/>
    <s v="154 Main St"/>
    <x v="2"/>
    <x v="1"/>
    <s v="TRK36415742"/>
    <n v="8"/>
    <s v="WINTER15"/>
    <x v="3"/>
    <x v="687"/>
  </r>
  <r>
    <s v="ORD200689"/>
    <x v="193"/>
    <s v="C13186"/>
    <x v="2"/>
    <n v="2"/>
    <n v="444.84"/>
    <s v="787 Main St"/>
    <x v="1"/>
    <x v="0"/>
    <s v="TRK56967415"/>
    <n v="7"/>
    <s v="No Coupon"/>
    <x v="3"/>
    <x v="688"/>
  </r>
  <r>
    <s v="ORD200690"/>
    <x v="494"/>
    <s v="C29318"/>
    <x v="0"/>
    <n v="1"/>
    <n v="24.48"/>
    <s v="128 Main St"/>
    <x v="3"/>
    <x v="2"/>
    <s v="TRK88666721"/>
    <n v="1"/>
    <s v="No Coupon"/>
    <x v="0"/>
    <x v="689"/>
  </r>
  <r>
    <s v="ORD200691"/>
    <x v="167"/>
    <s v="C36137"/>
    <x v="5"/>
    <n v="3"/>
    <n v="239.08"/>
    <s v="396 Main St"/>
    <x v="4"/>
    <x v="0"/>
    <s v="TRK57376416"/>
    <n v="8"/>
    <s v="No Coupon"/>
    <x v="4"/>
    <x v="690"/>
  </r>
  <r>
    <s v="ORD200692"/>
    <x v="19"/>
    <s v="C25534"/>
    <x v="6"/>
    <n v="5"/>
    <n v="196.84"/>
    <s v="319 Main St"/>
    <x v="2"/>
    <x v="3"/>
    <s v="TRK68347402"/>
    <n v="5"/>
    <s v="WINTER15"/>
    <x v="0"/>
    <x v="691"/>
  </r>
  <r>
    <s v="ORD200693"/>
    <x v="495"/>
    <s v="C62070"/>
    <x v="0"/>
    <n v="1"/>
    <n v="176.58"/>
    <s v="674 Main St"/>
    <x v="0"/>
    <x v="2"/>
    <s v="TRK10267127"/>
    <n v="4"/>
    <s v="No Coupon"/>
    <x v="1"/>
    <x v="692"/>
  </r>
  <r>
    <s v="ORD200694"/>
    <x v="276"/>
    <s v="C92049"/>
    <x v="4"/>
    <n v="4"/>
    <n v="666.52"/>
    <s v="619 Main St"/>
    <x v="4"/>
    <x v="0"/>
    <s v="TRK32287092"/>
    <n v="8"/>
    <s v="FREESHIP"/>
    <x v="2"/>
    <x v="693"/>
  </r>
  <r>
    <s v="ORD200695"/>
    <x v="432"/>
    <s v="C52604"/>
    <x v="4"/>
    <n v="5"/>
    <n v="101.3"/>
    <s v="553 Main St"/>
    <x v="1"/>
    <x v="0"/>
    <s v="TRK48839788"/>
    <n v="7"/>
    <s v="FREESHIP"/>
    <x v="2"/>
    <x v="694"/>
  </r>
  <r>
    <s v="ORD200696"/>
    <x v="226"/>
    <s v="C22429"/>
    <x v="3"/>
    <n v="4"/>
    <n v="151.19999999999999"/>
    <s v="965 Main St"/>
    <x v="3"/>
    <x v="4"/>
    <s v="TRK38572927"/>
    <n v="9"/>
    <s v="WINTER15"/>
    <x v="3"/>
    <x v="695"/>
  </r>
  <r>
    <s v="ORD200697"/>
    <x v="496"/>
    <s v="C27430"/>
    <x v="4"/>
    <n v="5"/>
    <n v="94.85"/>
    <s v="788 Main St"/>
    <x v="4"/>
    <x v="0"/>
    <s v="TRK45025840"/>
    <n v="6"/>
    <s v="WINTER15"/>
    <x v="2"/>
    <x v="696"/>
  </r>
  <r>
    <s v="ORD200698"/>
    <x v="0"/>
    <s v="C44366"/>
    <x v="5"/>
    <n v="2"/>
    <n v="388.22"/>
    <s v="169 Main St"/>
    <x v="4"/>
    <x v="3"/>
    <s v="TRK48658394"/>
    <n v="2"/>
    <s v="WINTER15"/>
    <x v="0"/>
    <x v="697"/>
  </r>
  <r>
    <s v="ORD200699"/>
    <x v="497"/>
    <s v="C36813"/>
    <x v="5"/>
    <n v="3"/>
    <n v="614.15"/>
    <s v="897 Main St"/>
    <x v="3"/>
    <x v="1"/>
    <s v="TRK84088900"/>
    <n v="3"/>
    <s v="No Coupon"/>
    <x v="3"/>
    <x v="698"/>
  </r>
  <r>
    <s v="ORD200700"/>
    <x v="498"/>
    <s v="C40201"/>
    <x v="5"/>
    <n v="2"/>
    <n v="92.91"/>
    <s v="555 Main St"/>
    <x v="4"/>
    <x v="2"/>
    <s v="TRK30198779"/>
    <n v="3"/>
    <s v="WINTER15"/>
    <x v="0"/>
    <x v="699"/>
  </r>
  <r>
    <s v="ORD200701"/>
    <x v="499"/>
    <s v="C75456"/>
    <x v="0"/>
    <n v="3"/>
    <n v="92.22"/>
    <s v="115 Main St"/>
    <x v="2"/>
    <x v="3"/>
    <s v="TRK90519490"/>
    <n v="5"/>
    <s v="FREESHIP"/>
    <x v="2"/>
    <x v="700"/>
  </r>
  <r>
    <s v="ORD200702"/>
    <x v="410"/>
    <s v="C33315"/>
    <x v="4"/>
    <n v="3"/>
    <n v="562.54999999999995"/>
    <s v="154 Main St"/>
    <x v="0"/>
    <x v="2"/>
    <s v="TRK43589369"/>
    <n v="6"/>
    <s v="No Coupon"/>
    <x v="2"/>
    <x v="701"/>
  </r>
  <r>
    <s v="ORD200703"/>
    <x v="500"/>
    <s v="C89336"/>
    <x v="6"/>
    <n v="1"/>
    <n v="92.79"/>
    <s v="799 Main St"/>
    <x v="4"/>
    <x v="4"/>
    <s v="TRK47665103"/>
    <n v="3"/>
    <s v="WINTER15"/>
    <x v="2"/>
    <x v="702"/>
  </r>
  <r>
    <s v="ORD200704"/>
    <x v="301"/>
    <s v="C96034"/>
    <x v="6"/>
    <n v="4"/>
    <n v="30.27"/>
    <s v="819 Main St"/>
    <x v="1"/>
    <x v="3"/>
    <s v="TRK87261034"/>
    <n v="9"/>
    <s v="FREESHIP"/>
    <x v="4"/>
    <x v="703"/>
  </r>
  <r>
    <s v="ORD200705"/>
    <x v="501"/>
    <s v="C50114"/>
    <x v="0"/>
    <n v="2"/>
    <n v="49.08"/>
    <s v="420 Main St"/>
    <x v="0"/>
    <x v="2"/>
    <s v="TRK20214786"/>
    <n v="7"/>
    <s v="FREESHIP"/>
    <x v="0"/>
    <x v="704"/>
  </r>
  <r>
    <s v="ORD200706"/>
    <x v="380"/>
    <s v="C85330"/>
    <x v="6"/>
    <n v="5"/>
    <n v="228.09"/>
    <s v="969 Main St"/>
    <x v="3"/>
    <x v="2"/>
    <s v="TRK97693301"/>
    <n v="9"/>
    <s v="FREESHIP"/>
    <x v="3"/>
    <x v="705"/>
  </r>
  <r>
    <s v="ORD200707"/>
    <x v="377"/>
    <s v="C31761"/>
    <x v="3"/>
    <n v="4"/>
    <n v="650.04"/>
    <s v="989 Main St"/>
    <x v="3"/>
    <x v="1"/>
    <s v="TRK17628852"/>
    <n v="6"/>
    <s v="SAVE10"/>
    <x v="3"/>
    <x v="706"/>
  </r>
  <r>
    <s v="ORD200708"/>
    <x v="155"/>
    <s v="C25268"/>
    <x v="4"/>
    <n v="1"/>
    <n v="665.11"/>
    <s v="788 Main St"/>
    <x v="4"/>
    <x v="4"/>
    <s v="TRK20481215"/>
    <n v="3"/>
    <s v="FREESHIP"/>
    <x v="0"/>
    <x v="707"/>
  </r>
  <r>
    <s v="ORD200709"/>
    <x v="34"/>
    <s v="C17132"/>
    <x v="6"/>
    <n v="1"/>
    <n v="386.03"/>
    <s v="855 Main St"/>
    <x v="1"/>
    <x v="4"/>
    <s v="TRK37504692"/>
    <n v="4"/>
    <s v="FREESHIP"/>
    <x v="4"/>
    <x v="708"/>
  </r>
  <r>
    <s v="ORD200710"/>
    <x v="319"/>
    <s v="C48790"/>
    <x v="5"/>
    <n v="5"/>
    <n v="21.54"/>
    <s v="113 Main St"/>
    <x v="3"/>
    <x v="2"/>
    <s v="TRK19086608"/>
    <n v="10"/>
    <s v="No Coupon"/>
    <x v="4"/>
    <x v="709"/>
  </r>
  <r>
    <s v="ORD200711"/>
    <x v="502"/>
    <s v="C61070"/>
    <x v="2"/>
    <n v="2"/>
    <n v="475.78"/>
    <s v="632 Main St"/>
    <x v="1"/>
    <x v="0"/>
    <s v="TRK90764894"/>
    <n v="2"/>
    <s v="WINTER15"/>
    <x v="4"/>
    <x v="710"/>
  </r>
  <r>
    <s v="ORD200712"/>
    <x v="486"/>
    <s v="C56969"/>
    <x v="2"/>
    <n v="2"/>
    <n v="68.400000000000006"/>
    <s v="993 Main St"/>
    <x v="3"/>
    <x v="4"/>
    <s v="TRK10513339"/>
    <n v="7"/>
    <s v="FREESHIP"/>
    <x v="2"/>
    <x v="711"/>
  </r>
  <r>
    <s v="ORD200713"/>
    <x v="370"/>
    <s v="C65056"/>
    <x v="2"/>
    <n v="4"/>
    <n v="532.49"/>
    <s v="638 Main St"/>
    <x v="1"/>
    <x v="1"/>
    <s v="TRK31705278"/>
    <n v="6"/>
    <s v="SAVE10"/>
    <x v="3"/>
    <x v="712"/>
  </r>
  <r>
    <s v="ORD200714"/>
    <x v="453"/>
    <s v="C84888"/>
    <x v="5"/>
    <n v="1"/>
    <n v="51.73"/>
    <s v="278 Main St"/>
    <x v="0"/>
    <x v="4"/>
    <s v="TRK23612847"/>
    <n v="1"/>
    <s v="FREESHIP"/>
    <x v="3"/>
    <x v="713"/>
  </r>
  <r>
    <s v="ORD200715"/>
    <x v="503"/>
    <s v="C68266"/>
    <x v="4"/>
    <n v="3"/>
    <n v="653.63"/>
    <s v="281 Main St"/>
    <x v="1"/>
    <x v="3"/>
    <s v="TRK96161062"/>
    <n v="7"/>
    <s v="FREESHIP"/>
    <x v="2"/>
    <x v="714"/>
  </r>
  <r>
    <s v="ORD200716"/>
    <x v="136"/>
    <s v="C84115"/>
    <x v="3"/>
    <n v="3"/>
    <n v="454.29"/>
    <s v="891 Main St"/>
    <x v="2"/>
    <x v="4"/>
    <s v="TRK25466842"/>
    <n v="4"/>
    <s v="WINTER15"/>
    <x v="4"/>
    <x v="715"/>
  </r>
  <r>
    <s v="ORD200717"/>
    <x v="504"/>
    <s v="C50087"/>
    <x v="3"/>
    <n v="3"/>
    <n v="122.11"/>
    <s v="707 Main St"/>
    <x v="1"/>
    <x v="3"/>
    <s v="TRK31143760"/>
    <n v="4"/>
    <s v="WINTER15"/>
    <x v="2"/>
    <x v="716"/>
  </r>
  <r>
    <s v="ORD200718"/>
    <x v="505"/>
    <s v="C16790"/>
    <x v="5"/>
    <n v="4"/>
    <n v="64.739999999999995"/>
    <s v="718 Main St"/>
    <x v="3"/>
    <x v="1"/>
    <s v="TRK91791367"/>
    <n v="8"/>
    <s v="SAVE10"/>
    <x v="4"/>
    <x v="717"/>
  </r>
  <r>
    <s v="ORD200719"/>
    <x v="506"/>
    <s v="C46920"/>
    <x v="5"/>
    <n v="2"/>
    <n v="681.06"/>
    <s v="703 Main St"/>
    <x v="0"/>
    <x v="0"/>
    <s v="TRK86403837"/>
    <n v="3"/>
    <s v="FREESHIP"/>
    <x v="3"/>
    <x v="718"/>
  </r>
  <r>
    <s v="ORD200720"/>
    <x v="507"/>
    <s v="C12740"/>
    <x v="6"/>
    <n v="5"/>
    <n v="128.94999999999999"/>
    <s v="305 Main St"/>
    <x v="4"/>
    <x v="4"/>
    <s v="TRK98506513"/>
    <n v="10"/>
    <s v="FREESHIP"/>
    <x v="0"/>
    <x v="719"/>
  </r>
  <r>
    <s v="ORD200721"/>
    <x v="508"/>
    <s v="C46557"/>
    <x v="6"/>
    <n v="2"/>
    <n v="118.59"/>
    <s v="890 Main St"/>
    <x v="2"/>
    <x v="3"/>
    <s v="TRK56110689"/>
    <n v="2"/>
    <s v="No Coupon"/>
    <x v="2"/>
    <x v="720"/>
  </r>
  <r>
    <s v="ORD200722"/>
    <x v="64"/>
    <s v="C58156"/>
    <x v="4"/>
    <n v="1"/>
    <n v="95.1"/>
    <s v="516 Main St"/>
    <x v="3"/>
    <x v="4"/>
    <s v="TRK49719458"/>
    <n v="1"/>
    <s v="WINTER15"/>
    <x v="0"/>
    <x v="721"/>
  </r>
  <r>
    <s v="ORD200723"/>
    <x v="509"/>
    <s v="C14455"/>
    <x v="6"/>
    <n v="3"/>
    <n v="54.95"/>
    <s v="385 Main St"/>
    <x v="4"/>
    <x v="2"/>
    <s v="TRK50933724"/>
    <n v="8"/>
    <s v="SAVE10"/>
    <x v="1"/>
    <x v="722"/>
  </r>
  <r>
    <s v="ORD200724"/>
    <x v="266"/>
    <s v="C63150"/>
    <x v="4"/>
    <n v="3"/>
    <n v="136.97"/>
    <s v="326 Main St"/>
    <x v="2"/>
    <x v="2"/>
    <s v="TRK19348078"/>
    <n v="4"/>
    <s v="FREESHIP"/>
    <x v="1"/>
    <x v="723"/>
  </r>
  <r>
    <s v="ORD200725"/>
    <x v="255"/>
    <s v="C95269"/>
    <x v="3"/>
    <n v="2"/>
    <n v="194.85"/>
    <s v="372 Main St"/>
    <x v="3"/>
    <x v="2"/>
    <s v="TRK45670926"/>
    <n v="5"/>
    <s v="No Coupon"/>
    <x v="1"/>
    <x v="724"/>
  </r>
  <r>
    <s v="ORD200726"/>
    <x v="510"/>
    <s v="C18105"/>
    <x v="5"/>
    <n v="4"/>
    <n v="583.02"/>
    <s v="338 Main St"/>
    <x v="1"/>
    <x v="3"/>
    <s v="TRK94006117"/>
    <n v="4"/>
    <s v="FREESHIP"/>
    <x v="3"/>
    <x v="725"/>
  </r>
  <r>
    <s v="ORD200727"/>
    <x v="470"/>
    <s v="C29063"/>
    <x v="3"/>
    <n v="5"/>
    <n v="95.75"/>
    <s v="379 Main St"/>
    <x v="1"/>
    <x v="0"/>
    <s v="TRK92745947"/>
    <n v="8"/>
    <s v="SAVE10"/>
    <x v="0"/>
    <x v="726"/>
  </r>
  <r>
    <s v="ORD200728"/>
    <x v="511"/>
    <s v="C10154"/>
    <x v="6"/>
    <n v="4"/>
    <n v="325.76"/>
    <s v="827 Main St"/>
    <x v="3"/>
    <x v="0"/>
    <s v="TRK79793300"/>
    <n v="8"/>
    <s v="WINTER15"/>
    <x v="2"/>
    <x v="727"/>
  </r>
  <r>
    <s v="ORD200729"/>
    <x v="102"/>
    <s v="C36997"/>
    <x v="1"/>
    <n v="4"/>
    <n v="186.41"/>
    <s v="819 Main St"/>
    <x v="3"/>
    <x v="4"/>
    <s v="TRK92794872"/>
    <n v="6"/>
    <s v="SAVE10"/>
    <x v="4"/>
    <x v="728"/>
  </r>
  <r>
    <s v="ORD200730"/>
    <x v="512"/>
    <s v="C77357"/>
    <x v="1"/>
    <n v="1"/>
    <n v="474.6"/>
    <s v="407 Main St"/>
    <x v="0"/>
    <x v="3"/>
    <s v="TRK91943923"/>
    <n v="4"/>
    <s v="SAVE10"/>
    <x v="2"/>
    <x v="729"/>
  </r>
  <r>
    <s v="ORD200731"/>
    <x v="267"/>
    <s v="C71310"/>
    <x v="4"/>
    <n v="5"/>
    <n v="584.46"/>
    <s v="308 Main St"/>
    <x v="2"/>
    <x v="2"/>
    <s v="TRK48292586"/>
    <n v="8"/>
    <s v="No Coupon"/>
    <x v="2"/>
    <x v="730"/>
  </r>
  <r>
    <s v="ORD200732"/>
    <x v="456"/>
    <s v="C80987"/>
    <x v="5"/>
    <n v="1"/>
    <n v="132.05000000000001"/>
    <s v="787 Main St"/>
    <x v="1"/>
    <x v="3"/>
    <s v="TRK42187776"/>
    <n v="2"/>
    <s v="No Coupon"/>
    <x v="4"/>
    <x v="731"/>
  </r>
  <r>
    <s v="ORD200733"/>
    <x v="513"/>
    <s v="C90757"/>
    <x v="2"/>
    <n v="4"/>
    <n v="494.84"/>
    <s v="694 Main St"/>
    <x v="4"/>
    <x v="2"/>
    <s v="TRK87991608"/>
    <n v="8"/>
    <s v="SAVE10"/>
    <x v="2"/>
    <x v="732"/>
  </r>
  <r>
    <s v="ORD200734"/>
    <x v="514"/>
    <s v="C51898"/>
    <x v="4"/>
    <n v="4"/>
    <n v="224.61"/>
    <s v="630 Main St"/>
    <x v="2"/>
    <x v="2"/>
    <s v="TRK19767885"/>
    <n v="6"/>
    <s v="WINTER15"/>
    <x v="3"/>
    <x v="733"/>
  </r>
  <r>
    <s v="ORD200735"/>
    <x v="515"/>
    <s v="C94508"/>
    <x v="0"/>
    <n v="4"/>
    <n v="44.07"/>
    <s v="359 Main St"/>
    <x v="0"/>
    <x v="4"/>
    <s v="TRK13443264"/>
    <n v="6"/>
    <s v="No Coupon"/>
    <x v="2"/>
    <x v="734"/>
  </r>
  <r>
    <s v="ORD200736"/>
    <x v="516"/>
    <s v="C59441"/>
    <x v="0"/>
    <n v="5"/>
    <n v="418.53"/>
    <s v="696 Main St"/>
    <x v="2"/>
    <x v="4"/>
    <s v="TRK66186874"/>
    <n v="6"/>
    <s v="FREESHIP"/>
    <x v="4"/>
    <x v="735"/>
  </r>
  <r>
    <s v="ORD200737"/>
    <x v="517"/>
    <s v="C91029"/>
    <x v="1"/>
    <n v="4"/>
    <n v="532.87"/>
    <s v="972 Main St"/>
    <x v="4"/>
    <x v="4"/>
    <s v="TRK25501930"/>
    <n v="9"/>
    <s v="FREESHIP"/>
    <x v="0"/>
    <x v="736"/>
  </r>
  <r>
    <s v="ORD200738"/>
    <x v="518"/>
    <s v="C96261"/>
    <x v="1"/>
    <n v="2"/>
    <n v="485.37"/>
    <s v="264 Main St"/>
    <x v="2"/>
    <x v="0"/>
    <s v="TRK44998396"/>
    <n v="5"/>
    <s v="SAVE10"/>
    <x v="2"/>
    <x v="737"/>
  </r>
  <r>
    <s v="ORD200739"/>
    <x v="136"/>
    <s v="C35123"/>
    <x v="1"/>
    <n v="4"/>
    <n v="386.73"/>
    <s v="513 Main St"/>
    <x v="4"/>
    <x v="3"/>
    <s v="TRK58979275"/>
    <n v="4"/>
    <s v="SAVE10"/>
    <x v="3"/>
    <x v="738"/>
  </r>
  <r>
    <s v="ORD200740"/>
    <x v="351"/>
    <s v="C10892"/>
    <x v="6"/>
    <n v="2"/>
    <n v="377.47"/>
    <s v="433 Main St"/>
    <x v="4"/>
    <x v="4"/>
    <s v="TRK76154554"/>
    <n v="7"/>
    <s v="No Coupon"/>
    <x v="4"/>
    <x v="739"/>
  </r>
  <r>
    <s v="ORD200741"/>
    <x v="185"/>
    <s v="C99683"/>
    <x v="0"/>
    <n v="5"/>
    <n v="332.64"/>
    <s v="945 Main St"/>
    <x v="3"/>
    <x v="3"/>
    <s v="TRK87305883"/>
    <n v="10"/>
    <s v="No Coupon"/>
    <x v="1"/>
    <x v="740"/>
  </r>
  <r>
    <s v="ORD200742"/>
    <x v="519"/>
    <s v="C41974"/>
    <x v="5"/>
    <n v="3"/>
    <n v="699.93"/>
    <s v="726 Main St"/>
    <x v="4"/>
    <x v="2"/>
    <s v="TRK48051468"/>
    <n v="7"/>
    <s v="SAVE10"/>
    <x v="4"/>
    <x v="741"/>
  </r>
  <r>
    <s v="ORD200743"/>
    <x v="430"/>
    <s v="C23978"/>
    <x v="0"/>
    <n v="1"/>
    <n v="576.35"/>
    <s v="549 Main St"/>
    <x v="3"/>
    <x v="2"/>
    <s v="TRK87090813"/>
    <n v="1"/>
    <s v="WINTER15"/>
    <x v="0"/>
    <x v="742"/>
  </r>
  <r>
    <s v="ORD200744"/>
    <x v="520"/>
    <s v="C10642"/>
    <x v="2"/>
    <n v="2"/>
    <n v="461.37"/>
    <s v="200 Main St"/>
    <x v="4"/>
    <x v="3"/>
    <s v="TRK98725693"/>
    <n v="5"/>
    <s v="SAVE10"/>
    <x v="4"/>
    <x v="743"/>
  </r>
  <r>
    <s v="ORD200745"/>
    <x v="521"/>
    <s v="C73813"/>
    <x v="4"/>
    <n v="4"/>
    <n v="111.3"/>
    <s v="364 Main St"/>
    <x v="0"/>
    <x v="4"/>
    <s v="TRK89906749"/>
    <n v="7"/>
    <s v="FREESHIP"/>
    <x v="2"/>
    <x v="744"/>
  </r>
  <r>
    <s v="ORD200746"/>
    <x v="522"/>
    <s v="C32183"/>
    <x v="6"/>
    <n v="3"/>
    <n v="661.89"/>
    <s v="551 Main St"/>
    <x v="1"/>
    <x v="1"/>
    <s v="TRK76287027"/>
    <n v="6"/>
    <s v="WINTER15"/>
    <x v="1"/>
    <x v="745"/>
  </r>
  <r>
    <s v="ORD200747"/>
    <x v="495"/>
    <s v="C54277"/>
    <x v="2"/>
    <n v="2"/>
    <n v="259.58"/>
    <s v="940 Main St"/>
    <x v="0"/>
    <x v="3"/>
    <s v="TRK26500181"/>
    <n v="7"/>
    <s v="FREESHIP"/>
    <x v="0"/>
    <x v="746"/>
  </r>
  <r>
    <s v="ORD200748"/>
    <x v="523"/>
    <s v="C56553"/>
    <x v="2"/>
    <n v="3"/>
    <n v="70.81"/>
    <s v="249 Main St"/>
    <x v="2"/>
    <x v="0"/>
    <s v="TRK37667360"/>
    <n v="8"/>
    <s v="FREESHIP"/>
    <x v="1"/>
    <x v="747"/>
  </r>
  <r>
    <s v="ORD200749"/>
    <x v="524"/>
    <s v="C17551"/>
    <x v="5"/>
    <n v="1"/>
    <n v="518.39"/>
    <s v="997 Main St"/>
    <x v="0"/>
    <x v="4"/>
    <s v="TRK88797170"/>
    <n v="4"/>
    <s v="FREESHIP"/>
    <x v="0"/>
    <x v="748"/>
  </r>
  <r>
    <s v="ORD200750"/>
    <x v="90"/>
    <s v="C14737"/>
    <x v="2"/>
    <n v="4"/>
    <n v="145.41"/>
    <s v="637 Main St"/>
    <x v="2"/>
    <x v="2"/>
    <s v="TRK10295115"/>
    <n v="7"/>
    <s v="FREESHIP"/>
    <x v="2"/>
    <x v="749"/>
  </r>
  <r>
    <s v="ORD200751"/>
    <x v="16"/>
    <s v="C35168"/>
    <x v="2"/>
    <n v="2"/>
    <n v="599.86"/>
    <s v="455 Main St"/>
    <x v="3"/>
    <x v="4"/>
    <s v="TRK76960854"/>
    <n v="7"/>
    <s v="FREESHIP"/>
    <x v="3"/>
    <x v="750"/>
  </r>
  <r>
    <s v="ORD200752"/>
    <x v="525"/>
    <s v="C82217"/>
    <x v="1"/>
    <n v="4"/>
    <n v="429.37"/>
    <s v="299 Main St"/>
    <x v="2"/>
    <x v="3"/>
    <s v="TRK33305694"/>
    <n v="8"/>
    <s v="FREESHIP"/>
    <x v="4"/>
    <x v="751"/>
  </r>
  <r>
    <s v="ORD200753"/>
    <x v="526"/>
    <s v="C42270"/>
    <x v="1"/>
    <n v="2"/>
    <n v="241.49"/>
    <s v="864 Main St"/>
    <x v="0"/>
    <x v="2"/>
    <s v="TRK72697796"/>
    <n v="7"/>
    <s v="FREESHIP"/>
    <x v="0"/>
    <x v="752"/>
  </r>
  <r>
    <s v="ORD200754"/>
    <x v="133"/>
    <s v="C48846"/>
    <x v="4"/>
    <n v="2"/>
    <n v="452.05"/>
    <s v="983 Main St"/>
    <x v="2"/>
    <x v="2"/>
    <s v="TRK52804097"/>
    <n v="3"/>
    <s v="WINTER15"/>
    <x v="2"/>
    <x v="753"/>
  </r>
  <r>
    <s v="ORD200755"/>
    <x v="527"/>
    <s v="C54160"/>
    <x v="6"/>
    <n v="3"/>
    <n v="336.71"/>
    <s v="658 Main St"/>
    <x v="2"/>
    <x v="4"/>
    <s v="TRK60515972"/>
    <n v="4"/>
    <s v="No Coupon"/>
    <x v="2"/>
    <x v="754"/>
  </r>
  <r>
    <s v="ORD200756"/>
    <x v="326"/>
    <s v="C14080"/>
    <x v="1"/>
    <n v="1"/>
    <n v="283.69"/>
    <s v="202 Main St"/>
    <x v="3"/>
    <x v="0"/>
    <s v="TRK93163682"/>
    <n v="6"/>
    <s v="No Coupon"/>
    <x v="4"/>
    <x v="755"/>
  </r>
  <r>
    <s v="ORD200757"/>
    <x v="27"/>
    <s v="C81074"/>
    <x v="6"/>
    <n v="1"/>
    <n v="157.72"/>
    <s v="597 Main St"/>
    <x v="0"/>
    <x v="3"/>
    <s v="TRK91105190"/>
    <n v="2"/>
    <s v="FREESHIP"/>
    <x v="4"/>
    <x v="756"/>
  </r>
  <r>
    <s v="ORD200758"/>
    <x v="465"/>
    <s v="C69021"/>
    <x v="2"/>
    <n v="3"/>
    <n v="624.84"/>
    <s v="917 Main St"/>
    <x v="2"/>
    <x v="1"/>
    <s v="TRK57148510"/>
    <n v="8"/>
    <s v="WINTER15"/>
    <x v="3"/>
    <x v="757"/>
  </r>
  <r>
    <s v="ORD200759"/>
    <x v="528"/>
    <s v="C96283"/>
    <x v="6"/>
    <n v="3"/>
    <n v="308.01"/>
    <s v="366 Main St"/>
    <x v="4"/>
    <x v="4"/>
    <s v="TRK91784124"/>
    <n v="3"/>
    <s v="FREESHIP"/>
    <x v="3"/>
    <x v="758"/>
  </r>
  <r>
    <s v="ORD200760"/>
    <x v="403"/>
    <s v="C96636"/>
    <x v="6"/>
    <n v="1"/>
    <n v="39.56"/>
    <s v="283 Main St"/>
    <x v="0"/>
    <x v="1"/>
    <s v="TRK73324346"/>
    <n v="5"/>
    <s v="No Coupon"/>
    <x v="4"/>
    <x v="759"/>
  </r>
  <r>
    <s v="ORD200761"/>
    <x v="454"/>
    <s v="C37235"/>
    <x v="6"/>
    <n v="4"/>
    <n v="37.76"/>
    <s v="217 Main St"/>
    <x v="0"/>
    <x v="3"/>
    <s v="TRK67789367"/>
    <n v="7"/>
    <s v="No Coupon"/>
    <x v="4"/>
    <x v="760"/>
  </r>
  <r>
    <s v="ORD200762"/>
    <x v="529"/>
    <s v="C12444"/>
    <x v="1"/>
    <n v="3"/>
    <n v="76.959999999999994"/>
    <s v="611 Main St"/>
    <x v="4"/>
    <x v="2"/>
    <s v="TRK97621403"/>
    <n v="8"/>
    <s v="FREESHIP"/>
    <x v="2"/>
    <x v="761"/>
  </r>
  <r>
    <s v="ORD200763"/>
    <x v="388"/>
    <s v="C79142"/>
    <x v="5"/>
    <n v="1"/>
    <n v="569.96"/>
    <s v="533 Main St"/>
    <x v="1"/>
    <x v="3"/>
    <s v="TRK30915955"/>
    <n v="4"/>
    <s v="FREESHIP"/>
    <x v="2"/>
    <x v="762"/>
  </r>
  <r>
    <s v="ORD200764"/>
    <x v="416"/>
    <s v="C35983"/>
    <x v="5"/>
    <n v="5"/>
    <n v="627.42999999999995"/>
    <s v="806 Main St"/>
    <x v="2"/>
    <x v="1"/>
    <s v="TRK14016163"/>
    <n v="10"/>
    <s v="FREESHIP"/>
    <x v="2"/>
    <x v="763"/>
  </r>
  <r>
    <s v="ORD200765"/>
    <x v="426"/>
    <s v="C36150"/>
    <x v="5"/>
    <n v="2"/>
    <n v="534.91"/>
    <s v="281 Main St"/>
    <x v="0"/>
    <x v="2"/>
    <s v="TRK96249043"/>
    <n v="5"/>
    <s v="SAVE10"/>
    <x v="4"/>
    <x v="764"/>
  </r>
  <r>
    <s v="ORD200766"/>
    <x v="55"/>
    <s v="C91454"/>
    <x v="4"/>
    <n v="2"/>
    <n v="278.88"/>
    <s v="494 Main St"/>
    <x v="0"/>
    <x v="4"/>
    <s v="TRK99985340"/>
    <n v="3"/>
    <s v="FREESHIP"/>
    <x v="1"/>
    <x v="765"/>
  </r>
  <r>
    <s v="ORD200767"/>
    <x v="479"/>
    <s v="C19368"/>
    <x v="2"/>
    <n v="2"/>
    <n v="323.22000000000003"/>
    <s v="517 Main St"/>
    <x v="2"/>
    <x v="3"/>
    <s v="TRK80436037"/>
    <n v="7"/>
    <s v="No Coupon"/>
    <x v="0"/>
    <x v="766"/>
  </r>
  <r>
    <s v="ORD200768"/>
    <x v="355"/>
    <s v="C35987"/>
    <x v="2"/>
    <n v="5"/>
    <n v="653.46"/>
    <s v="165 Main St"/>
    <x v="4"/>
    <x v="1"/>
    <s v="TRK28918815"/>
    <n v="9"/>
    <s v="WINTER15"/>
    <x v="2"/>
    <x v="767"/>
  </r>
  <r>
    <s v="ORD200769"/>
    <x v="117"/>
    <s v="C13366"/>
    <x v="4"/>
    <n v="4"/>
    <n v="678.55"/>
    <s v="568 Main St"/>
    <x v="4"/>
    <x v="3"/>
    <s v="TRK98691410"/>
    <n v="5"/>
    <s v="No Coupon"/>
    <x v="2"/>
    <x v="768"/>
  </r>
  <r>
    <s v="ORD200770"/>
    <x v="530"/>
    <s v="C72166"/>
    <x v="6"/>
    <n v="1"/>
    <n v="314.38"/>
    <s v="227 Main St"/>
    <x v="1"/>
    <x v="2"/>
    <s v="TRK67733444"/>
    <n v="6"/>
    <s v="No Coupon"/>
    <x v="4"/>
    <x v="769"/>
  </r>
  <r>
    <s v="ORD200771"/>
    <x v="520"/>
    <s v="C20357"/>
    <x v="1"/>
    <n v="3"/>
    <n v="692.44"/>
    <s v="272 Main St"/>
    <x v="0"/>
    <x v="1"/>
    <s v="TRK82236408"/>
    <n v="8"/>
    <s v="FREESHIP"/>
    <x v="4"/>
    <x v="770"/>
  </r>
  <r>
    <s v="ORD200772"/>
    <x v="118"/>
    <s v="C33802"/>
    <x v="0"/>
    <n v="1"/>
    <n v="604.87"/>
    <s v="461 Main St"/>
    <x v="1"/>
    <x v="3"/>
    <s v="TRK25799478"/>
    <n v="4"/>
    <s v="No Coupon"/>
    <x v="0"/>
    <x v="771"/>
  </r>
  <r>
    <s v="ORD200773"/>
    <x v="164"/>
    <s v="C99205"/>
    <x v="1"/>
    <n v="2"/>
    <n v="512.33000000000004"/>
    <s v="415 Main St"/>
    <x v="4"/>
    <x v="1"/>
    <s v="TRK48904015"/>
    <n v="7"/>
    <s v="No Coupon"/>
    <x v="3"/>
    <x v="772"/>
  </r>
  <r>
    <s v="ORD200774"/>
    <x v="198"/>
    <s v="C29701"/>
    <x v="3"/>
    <n v="3"/>
    <n v="20.54"/>
    <s v="257 Main St"/>
    <x v="2"/>
    <x v="1"/>
    <s v="TRK42266846"/>
    <n v="3"/>
    <s v="FREESHIP"/>
    <x v="0"/>
    <x v="773"/>
  </r>
  <r>
    <s v="ORD200775"/>
    <x v="190"/>
    <s v="C73941"/>
    <x v="1"/>
    <n v="2"/>
    <n v="625.22"/>
    <s v="569 Main St"/>
    <x v="1"/>
    <x v="1"/>
    <s v="TRK22051900"/>
    <n v="5"/>
    <s v="No Coupon"/>
    <x v="4"/>
    <x v="774"/>
  </r>
  <r>
    <s v="ORD200776"/>
    <x v="531"/>
    <s v="C69168"/>
    <x v="2"/>
    <n v="1"/>
    <n v="21.19"/>
    <s v="482 Main St"/>
    <x v="4"/>
    <x v="2"/>
    <s v="TRK10446197"/>
    <n v="5"/>
    <s v="WINTER15"/>
    <x v="4"/>
    <x v="775"/>
  </r>
  <r>
    <s v="ORD200777"/>
    <x v="438"/>
    <s v="C66116"/>
    <x v="3"/>
    <n v="5"/>
    <n v="64.489999999999995"/>
    <s v="633 Main St"/>
    <x v="1"/>
    <x v="1"/>
    <s v="TRK41967983"/>
    <n v="7"/>
    <s v="No Coupon"/>
    <x v="3"/>
    <x v="776"/>
  </r>
  <r>
    <s v="ORD200778"/>
    <x v="200"/>
    <s v="C85059"/>
    <x v="5"/>
    <n v="4"/>
    <n v="246.85"/>
    <s v="316 Main St"/>
    <x v="2"/>
    <x v="0"/>
    <s v="TRK56503740"/>
    <n v="8"/>
    <s v="WINTER15"/>
    <x v="4"/>
    <x v="777"/>
  </r>
  <r>
    <s v="ORD200779"/>
    <x v="142"/>
    <s v="C18076"/>
    <x v="1"/>
    <n v="3"/>
    <n v="588.74"/>
    <s v="751 Main St"/>
    <x v="0"/>
    <x v="4"/>
    <s v="TRK26661705"/>
    <n v="8"/>
    <s v="FREESHIP"/>
    <x v="2"/>
    <x v="778"/>
  </r>
  <r>
    <s v="ORD200780"/>
    <x v="74"/>
    <s v="C41284"/>
    <x v="5"/>
    <n v="4"/>
    <n v="184.48"/>
    <s v="661 Main St"/>
    <x v="1"/>
    <x v="1"/>
    <s v="TRK73613128"/>
    <n v="4"/>
    <s v="WINTER15"/>
    <x v="4"/>
    <x v="779"/>
  </r>
  <r>
    <s v="ORD200781"/>
    <x v="532"/>
    <s v="C43524"/>
    <x v="1"/>
    <n v="5"/>
    <n v="524.26"/>
    <s v="934 Main St"/>
    <x v="3"/>
    <x v="3"/>
    <s v="TRK51479426"/>
    <n v="5"/>
    <s v="FREESHIP"/>
    <x v="1"/>
    <x v="780"/>
  </r>
  <r>
    <s v="ORD200782"/>
    <x v="533"/>
    <s v="C58063"/>
    <x v="0"/>
    <n v="2"/>
    <n v="493.63"/>
    <s v="167 Main St"/>
    <x v="1"/>
    <x v="2"/>
    <s v="TRK50548869"/>
    <n v="6"/>
    <s v="SAVE10"/>
    <x v="1"/>
    <x v="781"/>
  </r>
  <r>
    <s v="ORD200783"/>
    <x v="534"/>
    <s v="C19937"/>
    <x v="4"/>
    <n v="1"/>
    <n v="438.34"/>
    <s v="281 Main St"/>
    <x v="3"/>
    <x v="2"/>
    <s v="TRK46990083"/>
    <n v="5"/>
    <s v="FREESHIP"/>
    <x v="3"/>
    <x v="782"/>
  </r>
  <r>
    <s v="ORD200784"/>
    <x v="535"/>
    <s v="C21191"/>
    <x v="5"/>
    <n v="1"/>
    <n v="325.81"/>
    <s v="232 Main St"/>
    <x v="2"/>
    <x v="4"/>
    <s v="TRK85771230"/>
    <n v="1"/>
    <s v="WINTER15"/>
    <x v="1"/>
    <x v="783"/>
  </r>
  <r>
    <s v="ORD200785"/>
    <x v="536"/>
    <s v="C45862"/>
    <x v="3"/>
    <n v="1"/>
    <n v="176.1"/>
    <s v="342 Main St"/>
    <x v="2"/>
    <x v="4"/>
    <s v="TRK53089983"/>
    <n v="1"/>
    <s v="SAVE10"/>
    <x v="0"/>
    <x v="784"/>
  </r>
  <r>
    <s v="ORD200786"/>
    <x v="421"/>
    <s v="C39130"/>
    <x v="3"/>
    <n v="5"/>
    <n v="45.31"/>
    <s v="774 Main St"/>
    <x v="1"/>
    <x v="1"/>
    <s v="TRK99583414"/>
    <n v="8"/>
    <s v="No Coupon"/>
    <x v="1"/>
    <x v="785"/>
  </r>
  <r>
    <s v="ORD200787"/>
    <x v="537"/>
    <s v="C18167"/>
    <x v="6"/>
    <n v="4"/>
    <n v="221.96"/>
    <s v="193 Main St"/>
    <x v="4"/>
    <x v="3"/>
    <s v="TRK36841089"/>
    <n v="7"/>
    <s v="No Coupon"/>
    <x v="4"/>
    <x v="786"/>
  </r>
  <r>
    <s v="ORD200788"/>
    <x v="208"/>
    <s v="C47307"/>
    <x v="3"/>
    <n v="2"/>
    <n v="601.42999999999995"/>
    <s v="761 Main St"/>
    <x v="1"/>
    <x v="4"/>
    <s v="TRK43516112"/>
    <n v="5"/>
    <s v="FREESHIP"/>
    <x v="0"/>
    <x v="787"/>
  </r>
  <r>
    <s v="ORD200789"/>
    <x v="538"/>
    <s v="C57276"/>
    <x v="2"/>
    <n v="5"/>
    <n v="691.28"/>
    <s v="183 Main St"/>
    <x v="1"/>
    <x v="3"/>
    <s v="TRK75899752"/>
    <n v="10"/>
    <s v="SAVE10"/>
    <x v="2"/>
    <x v="788"/>
  </r>
  <r>
    <s v="ORD200790"/>
    <x v="154"/>
    <s v="C38928"/>
    <x v="5"/>
    <n v="4"/>
    <n v="417.89"/>
    <s v="302 Main St"/>
    <x v="3"/>
    <x v="4"/>
    <s v="TRK96636009"/>
    <n v="4"/>
    <s v="No Coupon"/>
    <x v="4"/>
    <x v="789"/>
  </r>
  <r>
    <s v="ORD200791"/>
    <x v="539"/>
    <s v="C49710"/>
    <x v="3"/>
    <n v="4"/>
    <n v="409.28"/>
    <s v="956 Main St"/>
    <x v="4"/>
    <x v="4"/>
    <s v="TRK92591237"/>
    <n v="8"/>
    <s v="No Coupon"/>
    <x v="2"/>
    <x v="790"/>
  </r>
  <r>
    <s v="ORD200792"/>
    <x v="379"/>
    <s v="C41709"/>
    <x v="6"/>
    <n v="2"/>
    <n v="356.35"/>
    <s v="746 Main St"/>
    <x v="0"/>
    <x v="2"/>
    <s v="TRK90995294"/>
    <n v="6"/>
    <s v="WINTER15"/>
    <x v="3"/>
    <x v="791"/>
  </r>
  <r>
    <s v="ORD200793"/>
    <x v="116"/>
    <s v="C91255"/>
    <x v="3"/>
    <n v="5"/>
    <n v="170.22"/>
    <s v="769 Main St"/>
    <x v="0"/>
    <x v="3"/>
    <s v="TRK69599961"/>
    <n v="8"/>
    <s v="No Coupon"/>
    <x v="1"/>
    <x v="792"/>
  </r>
  <r>
    <s v="ORD200794"/>
    <x v="338"/>
    <s v="C76653"/>
    <x v="4"/>
    <n v="4"/>
    <n v="384.85"/>
    <s v="988 Main St"/>
    <x v="1"/>
    <x v="3"/>
    <s v="TRK77052196"/>
    <n v="9"/>
    <s v="FREESHIP"/>
    <x v="0"/>
    <x v="793"/>
  </r>
  <r>
    <s v="ORD200795"/>
    <x v="540"/>
    <s v="C95667"/>
    <x v="5"/>
    <n v="4"/>
    <n v="115.77"/>
    <s v="586 Main St"/>
    <x v="1"/>
    <x v="4"/>
    <s v="TRK41266666"/>
    <n v="7"/>
    <s v="SAVE10"/>
    <x v="0"/>
    <x v="794"/>
  </r>
  <r>
    <s v="ORD200796"/>
    <x v="541"/>
    <s v="C33313"/>
    <x v="1"/>
    <n v="3"/>
    <n v="579.54999999999995"/>
    <s v="882 Main St"/>
    <x v="3"/>
    <x v="2"/>
    <s v="TRK13349970"/>
    <n v="8"/>
    <s v="WINTER15"/>
    <x v="3"/>
    <x v="795"/>
  </r>
  <r>
    <s v="ORD200797"/>
    <x v="146"/>
    <s v="C36825"/>
    <x v="5"/>
    <n v="2"/>
    <n v="438.76"/>
    <s v="426 Main St"/>
    <x v="0"/>
    <x v="2"/>
    <s v="TRK72557318"/>
    <n v="2"/>
    <s v="No Coupon"/>
    <x v="3"/>
    <x v="796"/>
  </r>
  <r>
    <s v="ORD200798"/>
    <x v="542"/>
    <s v="C20861"/>
    <x v="1"/>
    <n v="5"/>
    <n v="488.35"/>
    <s v="968 Main St"/>
    <x v="0"/>
    <x v="2"/>
    <s v="TRK89372013"/>
    <n v="9"/>
    <s v="FREESHIP"/>
    <x v="2"/>
    <x v="797"/>
  </r>
  <r>
    <s v="ORD200799"/>
    <x v="397"/>
    <s v="C26364"/>
    <x v="5"/>
    <n v="4"/>
    <n v="328.56"/>
    <s v="803 Main St"/>
    <x v="0"/>
    <x v="2"/>
    <s v="TRK78924436"/>
    <n v="4"/>
    <s v="FREESHIP"/>
    <x v="2"/>
    <x v="798"/>
  </r>
  <r>
    <s v="ORD200800"/>
    <x v="210"/>
    <s v="C34686"/>
    <x v="2"/>
    <n v="1"/>
    <n v="68.39"/>
    <s v="412 Main St"/>
    <x v="1"/>
    <x v="2"/>
    <s v="TRK99468332"/>
    <n v="3"/>
    <s v="WINTER15"/>
    <x v="3"/>
    <x v="799"/>
  </r>
  <r>
    <s v="ORD200801"/>
    <x v="71"/>
    <s v="C97593"/>
    <x v="4"/>
    <n v="4"/>
    <n v="595.62"/>
    <s v="738 Main St"/>
    <x v="0"/>
    <x v="4"/>
    <s v="TRK58443593"/>
    <n v="8"/>
    <s v="FREESHIP"/>
    <x v="3"/>
    <x v="800"/>
  </r>
  <r>
    <s v="ORD200802"/>
    <x v="11"/>
    <s v="C84331"/>
    <x v="3"/>
    <n v="5"/>
    <n v="644.64"/>
    <s v="205 Main St"/>
    <x v="3"/>
    <x v="1"/>
    <s v="TRK34440714"/>
    <n v="6"/>
    <s v="FREESHIP"/>
    <x v="2"/>
    <x v="801"/>
  </r>
  <r>
    <s v="ORD200803"/>
    <x v="38"/>
    <s v="C88775"/>
    <x v="0"/>
    <n v="5"/>
    <n v="397.81"/>
    <s v="223 Main St"/>
    <x v="0"/>
    <x v="2"/>
    <s v="TRK45098068"/>
    <n v="5"/>
    <s v="SAVE10"/>
    <x v="1"/>
    <x v="802"/>
  </r>
  <r>
    <s v="ORD200804"/>
    <x v="543"/>
    <s v="C76362"/>
    <x v="3"/>
    <n v="3"/>
    <n v="236.5"/>
    <s v="916 Main St"/>
    <x v="1"/>
    <x v="3"/>
    <s v="TRK11868618"/>
    <n v="8"/>
    <s v="FREESHIP"/>
    <x v="2"/>
    <x v="803"/>
  </r>
  <r>
    <s v="ORD200805"/>
    <x v="12"/>
    <s v="C59278"/>
    <x v="5"/>
    <n v="5"/>
    <n v="472.01"/>
    <s v="178 Main St"/>
    <x v="3"/>
    <x v="1"/>
    <s v="TRK14590037"/>
    <n v="10"/>
    <s v="SAVE10"/>
    <x v="2"/>
    <x v="804"/>
  </r>
  <r>
    <s v="ORD200806"/>
    <x v="544"/>
    <s v="C55819"/>
    <x v="3"/>
    <n v="5"/>
    <n v="253.75"/>
    <s v="740 Main St"/>
    <x v="1"/>
    <x v="4"/>
    <s v="TRK13775054"/>
    <n v="9"/>
    <s v="WINTER15"/>
    <x v="0"/>
    <x v="805"/>
  </r>
  <r>
    <s v="ORD200807"/>
    <x v="337"/>
    <s v="C82344"/>
    <x v="0"/>
    <n v="3"/>
    <n v="676.21"/>
    <s v="260 Main St"/>
    <x v="1"/>
    <x v="3"/>
    <s v="TRK70957219"/>
    <n v="5"/>
    <s v="SAVE10"/>
    <x v="4"/>
    <x v="806"/>
  </r>
  <r>
    <s v="ORD200808"/>
    <x v="545"/>
    <s v="C65565"/>
    <x v="6"/>
    <n v="3"/>
    <n v="134.05000000000001"/>
    <s v="192 Main St"/>
    <x v="2"/>
    <x v="0"/>
    <s v="TRK80383756"/>
    <n v="3"/>
    <s v="No Coupon"/>
    <x v="4"/>
    <x v="807"/>
  </r>
  <r>
    <s v="ORD200809"/>
    <x v="398"/>
    <s v="C80416"/>
    <x v="6"/>
    <n v="5"/>
    <n v="217.43"/>
    <s v="752 Main St"/>
    <x v="0"/>
    <x v="0"/>
    <s v="TRK54385892"/>
    <n v="10"/>
    <s v="SAVE10"/>
    <x v="0"/>
    <x v="808"/>
  </r>
  <r>
    <s v="ORD200810"/>
    <x v="546"/>
    <s v="C23637"/>
    <x v="2"/>
    <n v="1"/>
    <n v="553.55999999999995"/>
    <s v="644 Main St"/>
    <x v="2"/>
    <x v="1"/>
    <s v="TRK16749863"/>
    <n v="5"/>
    <s v="No Coupon"/>
    <x v="1"/>
    <x v="809"/>
  </r>
  <r>
    <s v="ORD200811"/>
    <x v="212"/>
    <s v="C24769"/>
    <x v="5"/>
    <n v="2"/>
    <n v="28.55"/>
    <s v="864 Main St"/>
    <x v="3"/>
    <x v="0"/>
    <s v="TRK44538305"/>
    <n v="7"/>
    <s v="SAVE10"/>
    <x v="2"/>
    <x v="810"/>
  </r>
  <r>
    <s v="ORD200812"/>
    <x v="547"/>
    <s v="C81547"/>
    <x v="1"/>
    <n v="2"/>
    <n v="255.26"/>
    <s v="803 Main St"/>
    <x v="2"/>
    <x v="1"/>
    <s v="TRK88437123"/>
    <n v="6"/>
    <s v="FREESHIP"/>
    <x v="4"/>
    <x v="811"/>
  </r>
  <r>
    <s v="ORD200813"/>
    <x v="175"/>
    <s v="C12813"/>
    <x v="5"/>
    <n v="5"/>
    <n v="292.54000000000002"/>
    <s v="263 Main St"/>
    <x v="0"/>
    <x v="1"/>
    <s v="TRK36131660"/>
    <n v="8"/>
    <s v="FREESHIP"/>
    <x v="2"/>
    <x v="812"/>
  </r>
  <r>
    <s v="ORD200814"/>
    <x v="218"/>
    <s v="C50732"/>
    <x v="3"/>
    <n v="4"/>
    <n v="147.51"/>
    <s v="979 Main St"/>
    <x v="0"/>
    <x v="4"/>
    <s v="TRK21082461"/>
    <n v="4"/>
    <s v="WINTER15"/>
    <x v="0"/>
    <x v="813"/>
  </r>
  <r>
    <s v="ORD200815"/>
    <x v="548"/>
    <s v="C41320"/>
    <x v="4"/>
    <n v="3"/>
    <n v="569.84"/>
    <s v="920 Main St"/>
    <x v="3"/>
    <x v="1"/>
    <s v="TRK77539180"/>
    <n v="8"/>
    <s v="WINTER15"/>
    <x v="0"/>
    <x v="814"/>
  </r>
  <r>
    <s v="ORD200816"/>
    <x v="444"/>
    <s v="C55286"/>
    <x v="2"/>
    <n v="5"/>
    <n v="574.79"/>
    <s v="497 Main St"/>
    <x v="2"/>
    <x v="4"/>
    <s v="TRK39058734"/>
    <n v="8"/>
    <s v="WINTER15"/>
    <x v="1"/>
    <x v="815"/>
  </r>
  <r>
    <s v="ORD200817"/>
    <x v="469"/>
    <s v="C87994"/>
    <x v="3"/>
    <n v="4"/>
    <n v="598.19000000000005"/>
    <s v="430 Main St"/>
    <x v="2"/>
    <x v="3"/>
    <s v="TRK98883971"/>
    <n v="7"/>
    <s v="WINTER15"/>
    <x v="2"/>
    <x v="816"/>
  </r>
  <r>
    <s v="ORD200818"/>
    <x v="521"/>
    <s v="C25580"/>
    <x v="1"/>
    <n v="4"/>
    <n v="390.84"/>
    <s v="860 Main St"/>
    <x v="2"/>
    <x v="1"/>
    <s v="TRK58781638"/>
    <n v="9"/>
    <s v="WINTER15"/>
    <x v="1"/>
    <x v="817"/>
  </r>
  <r>
    <s v="ORD200819"/>
    <x v="335"/>
    <s v="C66196"/>
    <x v="1"/>
    <n v="2"/>
    <n v="398.45"/>
    <s v="650 Main St"/>
    <x v="0"/>
    <x v="1"/>
    <s v="TRK38104650"/>
    <n v="7"/>
    <s v="SAVE10"/>
    <x v="4"/>
    <x v="818"/>
  </r>
  <r>
    <s v="ORD200820"/>
    <x v="156"/>
    <s v="C35377"/>
    <x v="1"/>
    <n v="5"/>
    <n v="623.80999999999995"/>
    <s v="171 Main St"/>
    <x v="4"/>
    <x v="2"/>
    <s v="TRK17342157"/>
    <n v="6"/>
    <s v="FREESHIP"/>
    <x v="2"/>
    <x v="819"/>
  </r>
  <r>
    <s v="ORD200821"/>
    <x v="549"/>
    <s v="C40771"/>
    <x v="5"/>
    <n v="4"/>
    <n v="174.49"/>
    <s v="259 Main St"/>
    <x v="2"/>
    <x v="3"/>
    <s v="TRK56310345"/>
    <n v="5"/>
    <s v="SAVE10"/>
    <x v="3"/>
    <x v="820"/>
  </r>
  <r>
    <s v="ORD200822"/>
    <x v="175"/>
    <s v="C20624"/>
    <x v="1"/>
    <n v="1"/>
    <n v="479.56"/>
    <s v="923 Main St"/>
    <x v="3"/>
    <x v="2"/>
    <s v="TRK45123395"/>
    <n v="1"/>
    <s v="SAVE10"/>
    <x v="4"/>
    <x v="821"/>
  </r>
  <r>
    <s v="ORD200823"/>
    <x v="550"/>
    <s v="C27070"/>
    <x v="5"/>
    <n v="4"/>
    <n v="653.13"/>
    <s v="973 Main St"/>
    <x v="2"/>
    <x v="0"/>
    <s v="TRK83842481"/>
    <n v="8"/>
    <s v="WINTER15"/>
    <x v="0"/>
    <x v="822"/>
  </r>
  <r>
    <s v="ORD200824"/>
    <x v="193"/>
    <s v="C18826"/>
    <x v="0"/>
    <n v="3"/>
    <n v="481.1"/>
    <s v="664 Main St"/>
    <x v="2"/>
    <x v="2"/>
    <s v="TRK12530495"/>
    <n v="3"/>
    <s v="FREESHIP"/>
    <x v="3"/>
    <x v="823"/>
  </r>
  <r>
    <s v="ORD200825"/>
    <x v="18"/>
    <s v="C23899"/>
    <x v="6"/>
    <n v="5"/>
    <n v="271.69"/>
    <s v="543 Main St"/>
    <x v="1"/>
    <x v="2"/>
    <s v="TRK88914760"/>
    <n v="7"/>
    <s v="FREESHIP"/>
    <x v="0"/>
    <x v="824"/>
  </r>
  <r>
    <s v="ORD200826"/>
    <x v="177"/>
    <s v="C43249"/>
    <x v="4"/>
    <n v="3"/>
    <n v="463.81"/>
    <s v="283 Main St"/>
    <x v="1"/>
    <x v="2"/>
    <s v="TRK32469820"/>
    <n v="8"/>
    <s v="WINTER15"/>
    <x v="2"/>
    <x v="825"/>
  </r>
  <r>
    <s v="ORD200827"/>
    <x v="551"/>
    <s v="C95856"/>
    <x v="2"/>
    <n v="2"/>
    <n v="639.88"/>
    <s v="432 Main St"/>
    <x v="4"/>
    <x v="3"/>
    <s v="TRK58829625"/>
    <n v="5"/>
    <s v="WINTER15"/>
    <x v="0"/>
    <x v="826"/>
  </r>
  <r>
    <s v="ORD200828"/>
    <x v="25"/>
    <s v="C86266"/>
    <x v="3"/>
    <n v="4"/>
    <n v="404.58"/>
    <s v="510 Main St"/>
    <x v="4"/>
    <x v="0"/>
    <s v="TRK64576020"/>
    <n v="5"/>
    <s v="FREESHIP"/>
    <x v="0"/>
    <x v="827"/>
  </r>
  <r>
    <s v="ORD200829"/>
    <x v="483"/>
    <s v="C39551"/>
    <x v="0"/>
    <n v="1"/>
    <n v="76.930000000000007"/>
    <s v="685 Main St"/>
    <x v="0"/>
    <x v="3"/>
    <s v="TRK68358007"/>
    <n v="6"/>
    <s v="WINTER15"/>
    <x v="0"/>
    <x v="828"/>
  </r>
  <r>
    <s v="ORD200830"/>
    <x v="218"/>
    <s v="C90310"/>
    <x v="2"/>
    <n v="4"/>
    <n v="190.64"/>
    <s v="853 Main St"/>
    <x v="4"/>
    <x v="3"/>
    <s v="TRK70028457"/>
    <n v="5"/>
    <s v="SAVE10"/>
    <x v="2"/>
    <x v="829"/>
  </r>
  <r>
    <s v="ORD200831"/>
    <x v="552"/>
    <s v="C20124"/>
    <x v="4"/>
    <n v="2"/>
    <n v="88.73"/>
    <s v="140 Main St"/>
    <x v="1"/>
    <x v="4"/>
    <s v="TRK61346824"/>
    <n v="5"/>
    <s v="No Coupon"/>
    <x v="4"/>
    <x v="830"/>
  </r>
  <r>
    <s v="ORD200832"/>
    <x v="553"/>
    <s v="C63372"/>
    <x v="3"/>
    <n v="5"/>
    <n v="485.71"/>
    <s v="903 Main St"/>
    <x v="1"/>
    <x v="4"/>
    <s v="TRK14661811"/>
    <n v="10"/>
    <s v="SAVE10"/>
    <x v="1"/>
    <x v="831"/>
  </r>
  <r>
    <s v="ORD200833"/>
    <x v="387"/>
    <s v="C90595"/>
    <x v="1"/>
    <n v="5"/>
    <n v="78.290000000000006"/>
    <s v="508 Main St"/>
    <x v="2"/>
    <x v="0"/>
    <s v="TRK96573803"/>
    <n v="5"/>
    <s v="WINTER15"/>
    <x v="1"/>
    <x v="832"/>
  </r>
  <r>
    <s v="ORD200834"/>
    <x v="166"/>
    <s v="C98483"/>
    <x v="4"/>
    <n v="5"/>
    <n v="22.14"/>
    <s v="456 Main St"/>
    <x v="4"/>
    <x v="2"/>
    <s v="TRK22084320"/>
    <n v="10"/>
    <s v="No Coupon"/>
    <x v="0"/>
    <x v="833"/>
  </r>
  <r>
    <s v="ORD200835"/>
    <x v="290"/>
    <s v="C16429"/>
    <x v="6"/>
    <n v="1"/>
    <n v="679.65"/>
    <s v="390 Main St"/>
    <x v="0"/>
    <x v="0"/>
    <s v="TRK73888013"/>
    <n v="6"/>
    <s v="FREESHIP"/>
    <x v="4"/>
    <x v="834"/>
  </r>
  <r>
    <s v="ORD200836"/>
    <x v="488"/>
    <s v="C31810"/>
    <x v="1"/>
    <n v="1"/>
    <n v="178.44"/>
    <s v="328 Main St"/>
    <x v="2"/>
    <x v="1"/>
    <s v="TRK58725886"/>
    <n v="2"/>
    <s v="FREESHIP"/>
    <x v="4"/>
    <x v="835"/>
  </r>
  <r>
    <s v="ORD200837"/>
    <x v="554"/>
    <s v="C88029"/>
    <x v="3"/>
    <n v="5"/>
    <n v="655.55"/>
    <s v="282 Main St"/>
    <x v="1"/>
    <x v="3"/>
    <s v="TRK59701278"/>
    <n v="5"/>
    <s v="No Coupon"/>
    <x v="2"/>
    <x v="836"/>
  </r>
  <r>
    <s v="ORD200838"/>
    <x v="166"/>
    <s v="C57798"/>
    <x v="6"/>
    <n v="4"/>
    <n v="577.08000000000004"/>
    <s v="384 Main St"/>
    <x v="1"/>
    <x v="4"/>
    <s v="TRK68797566"/>
    <n v="8"/>
    <s v="No Coupon"/>
    <x v="3"/>
    <x v="837"/>
  </r>
  <r>
    <s v="ORD200839"/>
    <x v="318"/>
    <s v="C82858"/>
    <x v="3"/>
    <n v="3"/>
    <n v="197.97"/>
    <s v="551 Main St"/>
    <x v="1"/>
    <x v="1"/>
    <s v="TRK90618490"/>
    <n v="5"/>
    <s v="No Coupon"/>
    <x v="4"/>
    <x v="838"/>
  </r>
  <r>
    <s v="ORD200840"/>
    <x v="555"/>
    <s v="C60699"/>
    <x v="3"/>
    <n v="3"/>
    <n v="411.95"/>
    <s v="672 Main St"/>
    <x v="2"/>
    <x v="3"/>
    <s v="TRK88660574"/>
    <n v="7"/>
    <s v="FREESHIP"/>
    <x v="1"/>
    <x v="839"/>
  </r>
  <r>
    <s v="ORD200841"/>
    <x v="556"/>
    <s v="C94658"/>
    <x v="4"/>
    <n v="2"/>
    <n v="443.22"/>
    <s v="742 Main St"/>
    <x v="2"/>
    <x v="3"/>
    <s v="TRK51732528"/>
    <n v="5"/>
    <s v="No Coupon"/>
    <x v="3"/>
    <x v="840"/>
  </r>
  <r>
    <s v="ORD200842"/>
    <x v="106"/>
    <s v="C78305"/>
    <x v="5"/>
    <n v="3"/>
    <n v="364.14"/>
    <s v="396 Main St"/>
    <x v="1"/>
    <x v="4"/>
    <s v="TRK88312618"/>
    <n v="7"/>
    <s v="WINTER15"/>
    <x v="1"/>
    <x v="841"/>
  </r>
  <r>
    <s v="ORD200843"/>
    <x v="557"/>
    <s v="C43538"/>
    <x v="6"/>
    <n v="3"/>
    <n v="430.06"/>
    <s v="534 Main St"/>
    <x v="3"/>
    <x v="1"/>
    <s v="TRK20961563"/>
    <n v="8"/>
    <s v="FREESHIP"/>
    <x v="0"/>
    <x v="842"/>
  </r>
  <r>
    <s v="ORD200844"/>
    <x v="558"/>
    <s v="C47486"/>
    <x v="3"/>
    <n v="1"/>
    <n v="320.92"/>
    <s v="883 Main St"/>
    <x v="1"/>
    <x v="2"/>
    <s v="TRK75984759"/>
    <n v="5"/>
    <s v="FREESHIP"/>
    <x v="3"/>
    <x v="843"/>
  </r>
  <r>
    <s v="ORD200845"/>
    <x v="345"/>
    <s v="C24212"/>
    <x v="1"/>
    <n v="3"/>
    <n v="107.36"/>
    <s v="808 Main St"/>
    <x v="3"/>
    <x v="3"/>
    <s v="TRK68894675"/>
    <n v="5"/>
    <s v="FREESHIP"/>
    <x v="4"/>
    <x v="844"/>
  </r>
  <r>
    <s v="ORD200846"/>
    <x v="502"/>
    <s v="C24765"/>
    <x v="6"/>
    <n v="2"/>
    <n v="359.86"/>
    <s v="646 Main St"/>
    <x v="0"/>
    <x v="1"/>
    <s v="TRK43977698"/>
    <n v="4"/>
    <s v="No Coupon"/>
    <x v="1"/>
    <x v="845"/>
  </r>
  <r>
    <s v="ORD200847"/>
    <x v="249"/>
    <s v="C48176"/>
    <x v="4"/>
    <n v="4"/>
    <n v="434.23"/>
    <s v="670 Main St"/>
    <x v="1"/>
    <x v="0"/>
    <s v="TRK90560300"/>
    <n v="8"/>
    <s v="FREESHIP"/>
    <x v="2"/>
    <x v="846"/>
  </r>
  <r>
    <s v="ORD200848"/>
    <x v="107"/>
    <s v="C54675"/>
    <x v="3"/>
    <n v="2"/>
    <n v="645.85"/>
    <s v="634 Main St"/>
    <x v="1"/>
    <x v="0"/>
    <s v="TRK18049633"/>
    <n v="5"/>
    <s v="No Coupon"/>
    <x v="1"/>
    <x v="847"/>
  </r>
  <r>
    <s v="ORD200849"/>
    <x v="559"/>
    <s v="C16675"/>
    <x v="4"/>
    <n v="4"/>
    <n v="214.35"/>
    <s v="664 Main St"/>
    <x v="0"/>
    <x v="1"/>
    <s v="TRK12756945"/>
    <n v="7"/>
    <s v="WINTER15"/>
    <x v="1"/>
    <x v="848"/>
  </r>
  <r>
    <s v="ORD200850"/>
    <x v="560"/>
    <s v="C38557"/>
    <x v="0"/>
    <n v="3"/>
    <n v="638.5"/>
    <s v="890 Main St"/>
    <x v="0"/>
    <x v="1"/>
    <s v="TRK14832238"/>
    <n v="4"/>
    <s v="FREESHIP"/>
    <x v="0"/>
    <x v="849"/>
  </r>
  <r>
    <s v="ORD200851"/>
    <x v="427"/>
    <s v="C80183"/>
    <x v="5"/>
    <n v="1"/>
    <n v="365.57"/>
    <s v="146 Main St"/>
    <x v="1"/>
    <x v="1"/>
    <s v="TRK20814598"/>
    <n v="5"/>
    <s v="SAVE10"/>
    <x v="2"/>
    <x v="850"/>
  </r>
  <r>
    <s v="ORD200852"/>
    <x v="101"/>
    <s v="C39530"/>
    <x v="6"/>
    <n v="3"/>
    <n v="568.04999999999995"/>
    <s v="618 Main St"/>
    <x v="3"/>
    <x v="4"/>
    <s v="TRK69000497"/>
    <n v="6"/>
    <s v="SAVE10"/>
    <x v="4"/>
    <x v="851"/>
  </r>
  <r>
    <s v="ORD200853"/>
    <x v="504"/>
    <s v="C10002"/>
    <x v="4"/>
    <n v="3"/>
    <n v="490.01"/>
    <s v="894 Main St"/>
    <x v="4"/>
    <x v="2"/>
    <s v="TRK94641152"/>
    <n v="4"/>
    <s v="SAVE10"/>
    <x v="3"/>
    <x v="852"/>
  </r>
  <r>
    <s v="ORD200854"/>
    <x v="399"/>
    <s v="C56938"/>
    <x v="5"/>
    <n v="3"/>
    <n v="372.6"/>
    <s v="356 Main St"/>
    <x v="2"/>
    <x v="3"/>
    <s v="TRK67735987"/>
    <n v="7"/>
    <s v="WINTER15"/>
    <x v="1"/>
    <x v="853"/>
  </r>
  <r>
    <s v="ORD200855"/>
    <x v="551"/>
    <s v="C41331"/>
    <x v="0"/>
    <n v="5"/>
    <n v="240.61"/>
    <s v="785 Main St"/>
    <x v="2"/>
    <x v="0"/>
    <s v="TRK94198179"/>
    <n v="10"/>
    <s v="FREESHIP"/>
    <x v="2"/>
    <x v="854"/>
  </r>
  <r>
    <s v="ORD200856"/>
    <x v="561"/>
    <s v="C94698"/>
    <x v="1"/>
    <n v="1"/>
    <n v="586.62"/>
    <s v="871 Main St"/>
    <x v="0"/>
    <x v="0"/>
    <s v="TRK95768773"/>
    <n v="5"/>
    <s v="No Coupon"/>
    <x v="3"/>
    <x v="855"/>
  </r>
  <r>
    <s v="ORD200857"/>
    <x v="416"/>
    <s v="C56506"/>
    <x v="1"/>
    <n v="3"/>
    <n v="257.83999999999997"/>
    <s v="185 Main St"/>
    <x v="1"/>
    <x v="3"/>
    <s v="TRK86808324"/>
    <n v="4"/>
    <s v="No Coupon"/>
    <x v="0"/>
    <x v="856"/>
  </r>
  <r>
    <s v="ORD200858"/>
    <x v="38"/>
    <s v="C22167"/>
    <x v="2"/>
    <n v="5"/>
    <n v="435.66"/>
    <s v="891 Main St"/>
    <x v="1"/>
    <x v="4"/>
    <s v="TRK70269748"/>
    <n v="9"/>
    <s v="No Coupon"/>
    <x v="3"/>
    <x v="857"/>
  </r>
  <r>
    <s v="ORD200859"/>
    <x v="562"/>
    <s v="C11127"/>
    <x v="3"/>
    <n v="5"/>
    <n v="261.33"/>
    <s v="154 Main St"/>
    <x v="2"/>
    <x v="2"/>
    <s v="TRK73285507"/>
    <n v="5"/>
    <s v="SAVE10"/>
    <x v="1"/>
    <x v="858"/>
  </r>
  <r>
    <s v="ORD200860"/>
    <x v="514"/>
    <s v="C69542"/>
    <x v="4"/>
    <n v="1"/>
    <n v="422.54"/>
    <s v="876 Main St"/>
    <x v="4"/>
    <x v="3"/>
    <s v="TRK20746505"/>
    <n v="1"/>
    <s v="SAVE10"/>
    <x v="4"/>
    <x v="859"/>
  </r>
  <r>
    <s v="ORD200861"/>
    <x v="111"/>
    <s v="C93276"/>
    <x v="6"/>
    <n v="5"/>
    <n v="330.45"/>
    <s v="230 Main St"/>
    <x v="3"/>
    <x v="0"/>
    <s v="TRK44165913"/>
    <n v="10"/>
    <s v="FREESHIP"/>
    <x v="4"/>
    <x v="860"/>
  </r>
  <r>
    <s v="ORD200862"/>
    <x v="278"/>
    <s v="C37969"/>
    <x v="6"/>
    <n v="3"/>
    <n v="120.82"/>
    <s v="799 Main St"/>
    <x v="2"/>
    <x v="0"/>
    <s v="TRK69852386"/>
    <n v="5"/>
    <s v="SAVE10"/>
    <x v="1"/>
    <x v="861"/>
  </r>
  <r>
    <s v="ORD200863"/>
    <x v="199"/>
    <s v="C98276"/>
    <x v="1"/>
    <n v="1"/>
    <n v="14.06"/>
    <s v="471 Main St"/>
    <x v="2"/>
    <x v="4"/>
    <s v="TRK74207282"/>
    <n v="5"/>
    <s v="SAVE10"/>
    <x v="1"/>
    <x v="862"/>
  </r>
  <r>
    <s v="ORD200864"/>
    <x v="71"/>
    <s v="C14240"/>
    <x v="6"/>
    <n v="1"/>
    <n v="491.11"/>
    <s v="592 Main St"/>
    <x v="2"/>
    <x v="3"/>
    <s v="TRK58095246"/>
    <n v="4"/>
    <s v="SAVE10"/>
    <x v="3"/>
    <x v="863"/>
  </r>
  <r>
    <s v="ORD200865"/>
    <x v="563"/>
    <s v="C72241"/>
    <x v="0"/>
    <n v="4"/>
    <n v="677.37"/>
    <s v="156 Main St"/>
    <x v="4"/>
    <x v="4"/>
    <s v="TRK76270481"/>
    <n v="8"/>
    <s v="SAVE10"/>
    <x v="4"/>
    <x v="864"/>
  </r>
  <r>
    <s v="ORD200866"/>
    <x v="503"/>
    <s v="C39664"/>
    <x v="6"/>
    <n v="5"/>
    <n v="189.25"/>
    <s v="693 Main St"/>
    <x v="0"/>
    <x v="1"/>
    <s v="TRK39917741"/>
    <n v="10"/>
    <s v="WINTER15"/>
    <x v="2"/>
    <x v="865"/>
  </r>
  <r>
    <s v="ORD200867"/>
    <x v="564"/>
    <s v="C53252"/>
    <x v="4"/>
    <n v="4"/>
    <n v="142.58000000000001"/>
    <s v="351 Main St"/>
    <x v="4"/>
    <x v="3"/>
    <s v="TRK65831261"/>
    <n v="4"/>
    <s v="FREESHIP"/>
    <x v="3"/>
    <x v="866"/>
  </r>
  <r>
    <s v="ORD200868"/>
    <x v="310"/>
    <s v="C70452"/>
    <x v="0"/>
    <n v="4"/>
    <n v="316.32"/>
    <s v="309 Main St"/>
    <x v="0"/>
    <x v="3"/>
    <s v="TRK42985882"/>
    <n v="7"/>
    <s v="No Coupon"/>
    <x v="3"/>
    <x v="867"/>
  </r>
  <r>
    <s v="ORD200869"/>
    <x v="537"/>
    <s v="C29905"/>
    <x v="6"/>
    <n v="2"/>
    <n v="533.95000000000005"/>
    <s v="790 Main St"/>
    <x v="1"/>
    <x v="3"/>
    <s v="TRK16788127"/>
    <n v="5"/>
    <s v="WINTER15"/>
    <x v="4"/>
    <x v="868"/>
  </r>
  <r>
    <s v="ORD200870"/>
    <x v="565"/>
    <s v="C78725"/>
    <x v="1"/>
    <n v="4"/>
    <n v="470.09"/>
    <s v="541 Main St"/>
    <x v="0"/>
    <x v="3"/>
    <s v="TRK72001139"/>
    <n v="4"/>
    <s v="FREESHIP"/>
    <x v="4"/>
    <x v="869"/>
  </r>
  <r>
    <s v="ORD200871"/>
    <x v="149"/>
    <s v="C93768"/>
    <x v="2"/>
    <n v="3"/>
    <n v="324.3"/>
    <s v="720 Main St"/>
    <x v="0"/>
    <x v="4"/>
    <s v="TRK22024707"/>
    <n v="8"/>
    <s v="FREESHIP"/>
    <x v="2"/>
    <x v="870"/>
  </r>
  <r>
    <s v="ORD200872"/>
    <x v="566"/>
    <s v="C59169"/>
    <x v="3"/>
    <n v="4"/>
    <n v="629.34"/>
    <s v="172 Main St"/>
    <x v="4"/>
    <x v="0"/>
    <s v="TRK90883858"/>
    <n v="7"/>
    <s v="No Coupon"/>
    <x v="2"/>
    <x v="120"/>
  </r>
  <r>
    <s v="ORD200873"/>
    <x v="258"/>
    <s v="C53488"/>
    <x v="6"/>
    <n v="3"/>
    <n v="136.84"/>
    <s v="448 Main St"/>
    <x v="4"/>
    <x v="3"/>
    <s v="TRK27365050"/>
    <n v="3"/>
    <s v="SAVE10"/>
    <x v="3"/>
    <x v="502"/>
  </r>
  <r>
    <s v="ORD200874"/>
    <x v="150"/>
    <s v="C92180"/>
    <x v="3"/>
    <n v="2"/>
    <n v="488.9"/>
    <s v="632 Main St"/>
    <x v="4"/>
    <x v="3"/>
    <s v="TRK93315929"/>
    <n v="7"/>
    <s v="FREESHIP"/>
    <x v="3"/>
    <x v="871"/>
  </r>
  <r>
    <s v="ORD200875"/>
    <x v="567"/>
    <s v="C25918"/>
    <x v="5"/>
    <n v="5"/>
    <n v="133.38999999999999"/>
    <s v="203 Main St"/>
    <x v="2"/>
    <x v="3"/>
    <s v="TRK66473392"/>
    <n v="6"/>
    <s v="FREESHIP"/>
    <x v="1"/>
    <x v="872"/>
  </r>
  <r>
    <s v="ORD200876"/>
    <x v="410"/>
    <s v="C90363"/>
    <x v="3"/>
    <n v="5"/>
    <n v="608.91"/>
    <s v="200 Main St"/>
    <x v="3"/>
    <x v="4"/>
    <s v="TRK21534173"/>
    <n v="6"/>
    <s v="SAVE10"/>
    <x v="4"/>
    <x v="873"/>
  </r>
  <r>
    <s v="ORD200877"/>
    <x v="568"/>
    <s v="C43867"/>
    <x v="2"/>
    <n v="1"/>
    <n v="524.05999999999995"/>
    <s v="269 Main St"/>
    <x v="0"/>
    <x v="4"/>
    <s v="TRK97319127"/>
    <n v="3"/>
    <s v="FREESHIP"/>
    <x v="2"/>
    <x v="874"/>
  </r>
  <r>
    <s v="ORD200878"/>
    <x v="569"/>
    <s v="C73873"/>
    <x v="6"/>
    <n v="2"/>
    <n v="330.69"/>
    <s v="393 Main St"/>
    <x v="1"/>
    <x v="1"/>
    <s v="TRK56423132"/>
    <n v="5"/>
    <s v="SAVE10"/>
    <x v="4"/>
    <x v="875"/>
  </r>
  <r>
    <s v="ORD200879"/>
    <x v="428"/>
    <s v="C56622"/>
    <x v="1"/>
    <n v="2"/>
    <n v="547.66999999999996"/>
    <s v="932 Main St"/>
    <x v="3"/>
    <x v="0"/>
    <s v="TRK86373987"/>
    <n v="3"/>
    <s v="No Coupon"/>
    <x v="0"/>
    <x v="876"/>
  </r>
  <r>
    <s v="ORD200880"/>
    <x v="495"/>
    <s v="C85074"/>
    <x v="5"/>
    <n v="4"/>
    <n v="233.7"/>
    <s v="506 Main St"/>
    <x v="1"/>
    <x v="0"/>
    <s v="TRK63133878"/>
    <n v="8"/>
    <s v="SAVE10"/>
    <x v="3"/>
    <x v="877"/>
  </r>
  <r>
    <s v="ORD200881"/>
    <x v="570"/>
    <s v="C59579"/>
    <x v="2"/>
    <n v="2"/>
    <n v="448.85"/>
    <s v="386 Main St"/>
    <x v="2"/>
    <x v="4"/>
    <s v="TRK48000034"/>
    <n v="6"/>
    <s v="No Coupon"/>
    <x v="0"/>
    <x v="878"/>
  </r>
  <r>
    <s v="ORD200882"/>
    <x v="164"/>
    <s v="C43335"/>
    <x v="1"/>
    <n v="2"/>
    <n v="274.12"/>
    <s v="533 Main St"/>
    <x v="4"/>
    <x v="3"/>
    <s v="TRK91848650"/>
    <n v="6"/>
    <s v="FREESHIP"/>
    <x v="1"/>
    <x v="879"/>
  </r>
  <r>
    <s v="ORD200883"/>
    <x v="557"/>
    <s v="C43595"/>
    <x v="4"/>
    <n v="5"/>
    <n v="561.48"/>
    <s v="451 Main St"/>
    <x v="1"/>
    <x v="3"/>
    <s v="TRK25317348"/>
    <n v="9"/>
    <s v="FREESHIP"/>
    <x v="3"/>
    <x v="880"/>
  </r>
  <r>
    <s v="ORD200884"/>
    <x v="571"/>
    <s v="C71471"/>
    <x v="3"/>
    <n v="1"/>
    <n v="595.54"/>
    <s v="817 Main St"/>
    <x v="3"/>
    <x v="0"/>
    <s v="TRK52137079"/>
    <n v="4"/>
    <s v="No Coupon"/>
    <x v="0"/>
    <x v="881"/>
  </r>
  <r>
    <s v="ORD200885"/>
    <x v="158"/>
    <s v="C61090"/>
    <x v="5"/>
    <n v="4"/>
    <n v="515.59"/>
    <s v="387 Main St"/>
    <x v="2"/>
    <x v="0"/>
    <s v="TRK36388962"/>
    <n v="7"/>
    <s v="FREESHIP"/>
    <x v="4"/>
    <x v="882"/>
  </r>
  <r>
    <s v="ORD200886"/>
    <x v="385"/>
    <s v="C29620"/>
    <x v="1"/>
    <n v="1"/>
    <n v="460.13"/>
    <s v="792 Main St"/>
    <x v="2"/>
    <x v="2"/>
    <s v="TRK22046456"/>
    <n v="1"/>
    <s v="No Coupon"/>
    <x v="4"/>
    <x v="883"/>
  </r>
  <r>
    <s v="ORD200887"/>
    <x v="36"/>
    <s v="C67932"/>
    <x v="3"/>
    <n v="3"/>
    <n v="171.66"/>
    <s v="857 Main St"/>
    <x v="0"/>
    <x v="3"/>
    <s v="TRK88547534"/>
    <n v="7"/>
    <s v="No Coupon"/>
    <x v="4"/>
    <x v="884"/>
  </r>
  <r>
    <s v="ORD200888"/>
    <x v="572"/>
    <s v="C14427"/>
    <x v="5"/>
    <n v="2"/>
    <n v="266.95"/>
    <s v="833 Main St"/>
    <x v="2"/>
    <x v="4"/>
    <s v="TRK58024529"/>
    <n v="3"/>
    <s v="No Coupon"/>
    <x v="0"/>
    <x v="885"/>
  </r>
  <r>
    <s v="ORD200889"/>
    <x v="245"/>
    <s v="C36725"/>
    <x v="0"/>
    <n v="5"/>
    <n v="650.72"/>
    <s v="350 Main St"/>
    <x v="2"/>
    <x v="1"/>
    <s v="TRK16808790"/>
    <n v="8"/>
    <s v="WINTER15"/>
    <x v="2"/>
    <x v="886"/>
  </r>
  <r>
    <s v="ORD200890"/>
    <x v="178"/>
    <s v="C51921"/>
    <x v="5"/>
    <n v="3"/>
    <n v="439.53"/>
    <s v="943 Main St"/>
    <x v="0"/>
    <x v="4"/>
    <s v="TRK85741716"/>
    <n v="5"/>
    <s v="No Coupon"/>
    <x v="4"/>
    <x v="887"/>
  </r>
  <r>
    <s v="ORD200891"/>
    <x v="433"/>
    <s v="C36534"/>
    <x v="0"/>
    <n v="3"/>
    <n v="654.54"/>
    <s v="918 Main St"/>
    <x v="4"/>
    <x v="2"/>
    <s v="TRK38952138"/>
    <n v="7"/>
    <s v="SAVE10"/>
    <x v="1"/>
    <x v="888"/>
  </r>
  <r>
    <s v="ORD200892"/>
    <x v="573"/>
    <s v="C72043"/>
    <x v="6"/>
    <n v="1"/>
    <n v="394.53"/>
    <s v="480 Main St"/>
    <x v="4"/>
    <x v="0"/>
    <s v="TRK40896408"/>
    <n v="2"/>
    <s v="FREESHIP"/>
    <x v="1"/>
    <x v="889"/>
  </r>
  <r>
    <s v="ORD200893"/>
    <x v="574"/>
    <s v="C99533"/>
    <x v="0"/>
    <n v="1"/>
    <n v="678.01"/>
    <s v="696 Main St"/>
    <x v="4"/>
    <x v="4"/>
    <s v="TRK55701253"/>
    <n v="4"/>
    <s v="FREESHIP"/>
    <x v="1"/>
    <x v="890"/>
  </r>
  <r>
    <s v="ORD200894"/>
    <x v="575"/>
    <s v="C90852"/>
    <x v="2"/>
    <n v="3"/>
    <n v="575.01"/>
    <s v="852 Main St"/>
    <x v="1"/>
    <x v="1"/>
    <s v="TRK37551831"/>
    <n v="8"/>
    <s v="WINTER15"/>
    <x v="0"/>
    <x v="891"/>
  </r>
  <r>
    <s v="ORD200895"/>
    <x v="576"/>
    <s v="C81882"/>
    <x v="3"/>
    <n v="3"/>
    <n v="154.63999999999999"/>
    <s v="832 Main St"/>
    <x v="0"/>
    <x v="4"/>
    <s v="TRK62371264"/>
    <n v="6"/>
    <s v="WINTER15"/>
    <x v="3"/>
    <x v="892"/>
  </r>
  <r>
    <s v="ORD200896"/>
    <x v="266"/>
    <s v="C85466"/>
    <x v="6"/>
    <n v="3"/>
    <n v="147.29"/>
    <s v="102 Main St"/>
    <x v="3"/>
    <x v="0"/>
    <s v="TRK66764177"/>
    <n v="3"/>
    <s v="FREESHIP"/>
    <x v="4"/>
    <x v="893"/>
  </r>
  <r>
    <s v="ORD200897"/>
    <x v="459"/>
    <s v="C87995"/>
    <x v="5"/>
    <n v="4"/>
    <n v="481.48"/>
    <s v="358 Main St"/>
    <x v="3"/>
    <x v="3"/>
    <s v="TRK38730545"/>
    <n v="5"/>
    <s v="SAVE10"/>
    <x v="0"/>
    <x v="894"/>
  </r>
  <r>
    <s v="ORD200898"/>
    <x v="376"/>
    <s v="C44619"/>
    <x v="0"/>
    <n v="3"/>
    <n v="158.37"/>
    <s v="742 Main St"/>
    <x v="4"/>
    <x v="0"/>
    <s v="TRK66662528"/>
    <n v="6"/>
    <s v="No Coupon"/>
    <x v="1"/>
    <x v="895"/>
  </r>
  <r>
    <s v="ORD200899"/>
    <x v="577"/>
    <s v="C99904"/>
    <x v="4"/>
    <n v="2"/>
    <n v="323.37"/>
    <s v="552 Main St"/>
    <x v="1"/>
    <x v="4"/>
    <s v="TRK83843411"/>
    <n v="3"/>
    <s v="SAVE10"/>
    <x v="0"/>
    <x v="896"/>
  </r>
  <r>
    <s v="ORD200900"/>
    <x v="492"/>
    <s v="C52342"/>
    <x v="5"/>
    <n v="5"/>
    <n v="73.83"/>
    <s v="991 Main St"/>
    <x v="0"/>
    <x v="4"/>
    <s v="TRK67342586"/>
    <n v="9"/>
    <s v="No Coupon"/>
    <x v="0"/>
    <x v="897"/>
  </r>
  <r>
    <s v="ORD200901"/>
    <x v="578"/>
    <s v="C44277"/>
    <x v="2"/>
    <n v="1"/>
    <n v="458.63"/>
    <s v="839 Main St"/>
    <x v="0"/>
    <x v="2"/>
    <s v="TRK79321479"/>
    <n v="4"/>
    <s v="WINTER15"/>
    <x v="1"/>
    <x v="898"/>
  </r>
  <r>
    <s v="ORD200902"/>
    <x v="579"/>
    <s v="C61162"/>
    <x v="0"/>
    <n v="4"/>
    <n v="180.25"/>
    <s v="813 Main St"/>
    <x v="0"/>
    <x v="1"/>
    <s v="TRK76712124"/>
    <n v="7"/>
    <s v="No Coupon"/>
    <x v="3"/>
    <x v="899"/>
  </r>
  <r>
    <s v="ORD200903"/>
    <x v="209"/>
    <s v="C80868"/>
    <x v="0"/>
    <n v="3"/>
    <n v="473.49"/>
    <s v="205 Main St"/>
    <x v="2"/>
    <x v="4"/>
    <s v="TRK56186636"/>
    <n v="7"/>
    <s v="No Coupon"/>
    <x v="2"/>
    <x v="900"/>
  </r>
  <r>
    <s v="ORD200904"/>
    <x v="580"/>
    <s v="C16693"/>
    <x v="0"/>
    <n v="4"/>
    <n v="237.43"/>
    <s v="262 Main St"/>
    <x v="4"/>
    <x v="1"/>
    <s v="TRK41146508"/>
    <n v="8"/>
    <s v="WINTER15"/>
    <x v="1"/>
    <x v="901"/>
  </r>
  <r>
    <s v="ORD200905"/>
    <x v="581"/>
    <s v="C67818"/>
    <x v="5"/>
    <n v="1"/>
    <n v="442.39"/>
    <s v="101 Main St"/>
    <x v="3"/>
    <x v="4"/>
    <s v="TRK81978113"/>
    <n v="6"/>
    <s v="FREESHIP"/>
    <x v="3"/>
    <x v="902"/>
  </r>
  <r>
    <s v="ORD200906"/>
    <x v="459"/>
    <s v="C49938"/>
    <x v="0"/>
    <n v="1"/>
    <n v="62.12"/>
    <s v="141 Main St"/>
    <x v="4"/>
    <x v="2"/>
    <s v="TRK80175572"/>
    <n v="2"/>
    <s v="No Coupon"/>
    <x v="2"/>
    <x v="903"/>
  </r>
  <r>
    <s v="ORD200907"/>
    <x v="548"/>
    <s v="C90898"/>
    <x v="6"/>
    <n v="5"/>
    <n v="298.39"/>
    <s v="583 Main St"/>
    <x v="3"/>
    <x v="1"/>
    <s v="TRK52935170"/>
    <n v="7"/>
    <s v="WINTER15"/>
    <x v="1"/>
    <x v="904"/>
  </r>
  <r>
    <s v="ORD200908"/>
    <x v="138"/>
    <s v="C35117"/>
    <x v="6"/>
    <n v="2"/>
    <n v="697.93"/>
    <s v="332 Main St"/>
    <x v="2"/>
    <x v="1"/>
    <s v="TRK27155709"/>
    <n v="2"/>
    <s v="SAVE10"/>
    <x v="4"/>
    <x v="905"/>
  </r>
  <r>
    <s v="ORD200909"/>
    <x v="582"/>
    <s v="C60203"/>
    <x v="2"/>
    <n v="2"/>
    <n v="291.85000000000002"/>
    <s v="569 Main St"/>
    <x v="4"/>
    <x v="0"/>
    <s v="TRK76525279"/>
    <n v="5"/>
    <s v="FREESHIP"/>
    <x v="0"/>
    <x v="906"/>
  </r>
  <r>
    <s v="ORD200910"/>
    <x v="583"/>
    <s v="C36174"/>
    <x v="4"/>
    <n v="3"/>
    <n v="308.98"/>
    <s v="348 Main St"/>
    <x v="4"/>
    <x v="3"/>
    <s v="TRK26397548"/>
    <n v="3"/>
    <s v="SAVE10"/>
    <x v="0"/>
    <x v="907"/>
  </r>
  <r>
    <s v="ORD200911"/>
    <x v="584"/>
    <s v="C80872"/>
    <x v="6"/>
    <n v="5"/>
    <n v="396.86"/>
    <s v="593 Main St"/>
    <x v="4"/>
    <x v="1"/>
    <s v="TRK43967487"/>
    <n v="9"/>
    <s v="SAVE10"/>
    <x v="0"/>
    <x v="908"/>
  </r>
  <r>
    <s v="ORD200912"/>
    <x v="585"/>
    <s v="C67604"/>
    <x v="6"/>
    <n v="2"/>
    <n v="139.69"/>
    <s v="318 Main St"/>
    <x v="1"/>
    <x v="2"/>
    <s v="TRK85545920"/>
    <n v="7"/>
    <s v="FREESHIP"/>
    <x v="2"/>
    <x v="909"/>
  </r>
  <r>
    <s v="ORD200913"/>
    <x v="223"/>
    <s v="C45599"/>
    <x v="4"/>
    <n v="5"/>
    <n v="475.95"/>
    <s v="505 Main St"/>
    <x v="2"/>
    <x v="2"/>
    <s v="TRK62277685"/>
    <n v="8"/>
    <s v="WINTER15"/>
    <x v="3"/>
    <x v="910"/>
  </r>
  <r>
    <s v="ORD200914"/>
    <x v="441"/>
    <s v="C70352"/>
    <x v="6"/>
    <n v="1"/>
    <n v="626.6"/>
    <s v="955 Main St"/>
    <x v="3"/>
    <x v="2"/>
    <s v="TRK51589589"/>
    <n v="4"/>
    <s v="WINTER15"/>
    <x v="3"/>
    <x v="911"/>
  </r>
  <r>
    <s v="ORD200915"/>
    <x v="586"/>
    <s v="C20643"/>
    <x v="5"/>
    <n v="4"/>
    <n v="502.99"/>
    <s v="939 Main St"/>
    <x v="0"/>
    <x v="0"/>
    <s v="TRK30736692"/>
    <n v="4"/>
    <s v="WINTER15"/>
    <x v="1"/>
    <x v="912"/>
  </r>
  <r>
    <s v="ORD200916"/>
    <x v="587"/>
    <s v="C35669"/>
    <x v="4"/>
    <n v="5"/>
    <n v="578.83000000000004"/>
    <s v="165 Main St"/>
    <x v="4"/>
    <x v="2"/>
    <s v="TRK13928455"/>
    <n v="6"/>
    <s v="No Coupon"/>
    <x v="1"/>
    <x v="913"/>
  </r>
  <r>
    <s v="ORD200917"/>
    <x v="588"/>
    <s v="C65524"/>
    <x v="5"/>
    <n v="5"/>
    <n v="383.82"/>
    <s v="836 Main St"/>
    <x v="2"/>
    <x v="2"/>
    <s v="TRK19315310"/>
    <n v="7"/>
    <s v="FREESHIP"/>
    <x v="4"/>
    <x v="914"/>
  </r>
  <r>
    <s v="ORD200918"/>
    <x v="53"/>
    <s v="C74359"/>
    <x v="5"/>
    <n v="5"/>
    <n v="368.25"/>
    <s v="706 Main St"/>
    <x v="1"/>
    <x v="3"/>
    <s v="TRK18250450"/>
    <n v="5"/>
    <s v="No Coupon"/>
    <x v="0"/>
    <x v="915"/>
  </r>
  <r>
    <s v="ORD200919"/>
    <x v="492"/>
    <s v="C92086"/>
    <x v="4"/>
    <n v="2"/>
    <n v="374.6"/>
    <s v="187 Main St"/>
    <x v="1"/>
    <x v="0"/>
    <s v="TRK23357668"/>
    <n v="3"/>
    <s v="FREESHIP"/>
    <x v="1"/>
    <x v="916"/>
  </r>
  <r>
    <s v="ORD200920"/>
    <x v="495"/>
    <s v="C26137"/>
    <x v="2"/>
    <n v="2"/>
    <n v="428.09"/>
    <s v="978 Main St"/>
    <x v="2"/>
    <x v="2"/>
    <s v="TRK98110407"/>
    <n v="6"/>
    <s v="No Coupon"/>
    <x v="0"/>
    <x v="917"/>
  </r>
  <r>
    <s v="ORD200921"/>
    <x v="528"/>
    <s v="C90573"/>
    <x v="2"/>
    <n v="1"/>
    <n v="438.93"/>
    <s v="144 Main St"/>
    <x v="3"/>
    <x v="1"/>
    <s v="TRK90075720"/>
    <n v="3"/>
    <s v="SAVE10"/>
    <x v="1"/>
    <x v="918"/>
  </r>
  <r>
    <s v="ORD200922"/>
    <x v="589"/>
    <s v="C81857"/>
    <x v="6"/>
    <n v="2"/>
    <n v="563.82000000000005"/>
    <s v="487 Main St"/>
    <x v="2"/>
    <x v="4"/>
    <s v="TRK79737732"/>
    <n v="3"/>
    <s v="No Coupon"/>
    <x v="0"/>
    <x v="919"/>
  </r>
  <r>
    <s v="ORD200923"/>
    <x v="91"/>
    <s v="C91582"/>
    <x v="4"/>
    <n v="3"/>
    <n v="649.92999999999995"/>
    <s v="836 Main St"/>
    <x v="2"/>
    <x v="4"/>
    <s v="TRK99938245"/>
    <n v="7"/>
    <s v="WINTER15"/>
    <x v="3"/>
    <x v="920"/>
  </r>
  <r>
    <s v="ORD200924"/>
    <x v="29"/>
    <s v="C81319"/>
    <x v="4"/>
    <n v="5"/>
    <n v="268.43"/>
    <s v="991 Main St"/>
    <x v="4"/>
    <x v="2"/>
    <s v="TRK55330558"/>
    <n v="5"/>
    <s v="SAVE10"/>
    <x v="2"/>
    <x v="921"/>
  </r>
  <r>
    <s v="ORD200925"/>
    <x v="590"/>
    <s v="C78500"/>
    <x v="0"/>
    <n v="5"/>
    <n v="502.47"/>
    <s v="304 Main St"/>
    <x v="1"/>
    <x v="0"/>
    <s v="TRK97460884"/>
    <n v="10"/>
    <s v="WINTER15"/>
    <x v="2"/>
    <x v="922"/>
  </r>
  <r>
    <s v="ORD200926"/>
    <x v="591"/>
    <s v="C67533"/>
    <x v="6"/>
    <n v="1"/>
    <n v="26.95"/>
    <s v="672 Main St"/>
    <x v="4"/>
    <x v="3"/>
    <s v="TRK14566395"/>
    <n v="1"/>
    <s v="WINTER15"/>
    <x v="2"/>
    <x v="923"/>
  </r>
  <r>
    <s v="ORD200927"/>
    <x v="592"/>
    <s v="C35566"/>
    <x v="5"/>
    <n v="4"/>
    <n v="64.69"/>
    <s v="638 Main St"/>
    <x v="0"/>
    <x v="0"/>
    <s v="TRK10003020"/>
    <n v="7"/>
    <s v="WINTER15"/>
    <x v="4"/>
    <x v="924"/>
  </r>
  <r>
    <s v="ORD200928"/>
    <x v="593"/>
    <s v="C77166"/>
    <x v="5"/>
    <n v="3"/>
    <n v="247.11"/>
    <s v="821 Main St"/>
    <x v="0"/>
    <x v="2"/>
    <s v="TRK18896595"/>
    <n v="3"/>
    <s v="WINTER15"/>
    <x v="1"/>
    <x v="925"/>
  </r>
  <r>
    <s v="ORD200929"/>
    <x v="594"/>
    <s v="C67936"/>
    <x v="2"/>
    <n v="2"/>
    <n v="536.25"/>
    <s v="553 Main St"/>
    <x v="0"/>
    <x v="4"/>
    <s v="TRK71803414"/>
    <n v="3"/>
    <s v="No Coupon"/>
    <x v="2"/>
    <x v="926"/>
  </r>
  <r>
    <s v="ORD200930"/>
    <x v="393"/>
    <s v="C59554"/>
    <x v="1"/>
    <n v="2"/>
    <n v="456.04"/>
    <s v="382 Main St"/>
    <x v="0"/>
    <x v="2"/>
    <s v="TRK28182447"/>
    <n v="4"/>
    <s v="FREESHIP"/>
    <x v="2"/>
    <x v="927"/>
  </r>
  <r>
    <s v="ORD200931"/>
    <x v="543"/>
    <s v="C14005"/>
    <x v="4"/>
    <n v="2"/>
    <n v="40.229999999999997"/>
    <s v="623 Main St"/>
    <x v="2"/>
    <x v="1"/>
    <s v="TRK87567926"/>
    <n v="4"/>
    <s v="SAVE10"/>
    <x v="4"/>
    <x v="928"/>
  </r>
  <r>
    <s v="ORD200932"/>
    <x v="465"/>
    <s v="C26118"/>
    <x v="5"/>
    <n v="2"/>
    <n v="72.39"/>
    <s v="168 Main St"/>
    <x v="1"/>
    <x v="3"/>
    <s v="TRK15334251"/>
    <n v="7"/>
    <s v="WINTER15"/>
    <x v="0"/>
    <x v="929"/>
  </r>
  <r>
    <s v="ORD200933"/>
    <x v="595"/>
    <s v="C59685"/>
    <x v="0"/>
    <n v="2"/>
    <n v="394.16"/>
    <s v="255 Main St"/>
    <x v="1"/>
    <x v="0"/>
    <s v="TRK43718093"/>
    <n v="2"/>
    <s v="No Coupon"/>
    <x v="1"/>
    <x v="930"/>
  </r>
  <r>
    <s v="ORD200934"/>
    <x v="565"/>
    <s v="C40304"/>
    <x v="5"/>
    <n v="4"/>
    <n v="119.84"/>
    <s v="692 Main St"/>
    <x v="3"/>
    <x v="0"/>
    <s v="TRK85790948"/>
    <n v="8"/>
    <s v="FREESHIP"/>
    <x v="1"/>
    <x v="931"/>
  </r>
  <r>
    <s v="ORD200935"/>
    <x v="254"/>
    <s v="C39593"/>
    <x v="1"/>
    <n v="3"/>
    <n v="692.71"/>
    <s v="398 Main St"/>
    <x v="2"/>
    <x v="3"/>
    <s v="TRK62405253"/>
    <n v="3"/>
    <s v="FREESHIP"/>
    <x v="0"/>
    <x v="932"/>
  </r>
  <r>
    <s v="ORD200936"/>
    <x v="596"/>
    <s v="C50612"/>
    <x v="3"/>
    <n v="4"/>
    <n v="56.66"/>
    <s v="737 Main St"/>
    <x v="1"/>
    <x v="3"/>
    <s v="TRK44140968"/>
    <n v="4"/>
    <s v="SAVE10"/>
    <x v="0"/>
    <x v="933"/>
  </r>
  <r>
    <s v="ORD200937"/>
    <x v="462"/>
    <s v="C39791"/>
    <x v="3"/>
    <n v="2"/>
    <n v="298.52999999999997"/>
    <s v="536 Main St"/>
    <x v="0"/>
    <x v="1"/>
    <s v="TRK46221436"/>
    <n v="5"/>
    <s v="WINTER15"/>
    <x v="2"/>
    <x v="934"/>
  </r>
  <r>
    <s v="ORD200938"/>
    <x v="219"/>
    <s v="C39017"/>
    <x v="3"/>
    <n v="3"/>
    <n v="331.46"/>
    <s v="696 Main St"/>
    <x v="2"/>
    <x v="1"/>
    <s v="TRK91155214"/>
    <n v="6"/>
    <s v="WINTER15"/>
    <x v="1"/>
    <x v="935"/>
  </r>
  <r>
    <s v="ORD200939"/>
    <x v="597"/>
    <s v="C48510"/>
    <x v="5"/>
    <n v="2"/>
    <n v="521.4"/>
    <s v="212 Main St"/>
    <x v="4"/>
    <x v="3"/>
    <s v="TRK53152886"/>
    <n v="7"/>
    <s v="SAVE10"/>
    <x v="0"/>
    <x v="936"/>
  </r>
  <r>
    <s v="ORD200940"/>
    <x v="14"/>
    <s v="C74003"/>
    <x v="4"/>
    <n v="4"/>
    <n v="305.32"/>
    <s v="679 Main St"/>
    <x v="1"/>
    <x v="1"/>
    <s v="TRK91525779"/>
    <n v="4"/>
    <s v="SAVE10"/>
    <x v="4"/>
    <x v="937"/>
  </r>
  <r>
    <s v="ORD200941"/>
    <x v="15"/>
    <s v="C91155"/>
    <x v="4"/>
    <n v="5"/>
    <n v="111.7"/>
    <s v="599 Main St"/>
    <x v="2"/>
    <x v="1"/>
    <s v="TRK82162952"/>
    <n v="9"/>
    <s v="FREESHIP"/>
    <x v="2"/>
    <x v="938"/>
  </r>
  <r>
    <s v="ORD200942"/>
    <x v="372"/>
    <s v="C17591"/>
    <x v="2"/>
    <n v="1"/>
    <n v="479.76"/>
    <s v="882 Main St"/>
    <x v="2"/>
    <x v="4"/>
    <s v="TRK56070470"/>
    <n v="1"/>
    <s v="No Coupon"/>
    <x v="2"/>
    <x v="939"/>
  </r>
  <r>
    <s v="ORD200943"/>
    <x v="140"/>
    <s v="C43330"/>
    <x v="0"/>
    <n v="3"/>
    <n v="193.49"/>
    <s v="355 Main St"/>
    <x v="3"/>
    <x v="2"/>
    <s v="TRK71594838"/>
    <n v="6"/>
    <s v="FREESHIP"/>
    <x v="3"/>
    <x v="940"/>
  </r>
  <r>
    <s v="ORD200944"/>
    <x v="393"/>
    <s v="C32687"/>
    <x v="5"/>
    <n v="2"/>
    <n v="426.22"/>
    <s v="448 Main St"/>
    <x v="1"/>
    <x v="3"/>
    <s v="TRK98284560"/>
    <n v="7"/>
    <s v="WINTER15"/>
    <x v="4"/>
    <x v="941"/>
  </r>
  <r>
    <s v="ORD200945"/>
    <x v="38"/>
    <s v="C79722"/>
    <x v="2"/>
    <n v="5"/>
    <n v="276.44"/>
    <s v="619 Main St"/>
    <x v="3"/>
    <x v="0"/>
    <s v="TRK29976438"/>
    <n v="10"/>
    <s v="FREESHIP"/>
    <x v="1"/>
    <x v="942"/>
  </r>
  <r>
    <s v="ORD200946"/>
    <x v="598"/>
    <s v="C65021"/>
    <x v="1"/>
    <n v="2"/>
    <n v="404.96"/>
    <s v="546 Main St"/>
    <x v="4"/>
    <x v="0"/>
    <s v="TRK20626179"/>
    <n v="4"/>
    <s v="SAVE10"/>
    <x v="2"/>
    <x v="943"/>
  </r>
  <r>
    <s v="ORD200947"/>
    <x v="599"/>
    <s v="C85520"/>
    <x v="1"/>
    <n v="4"/>
    <n v="465.66"/>
    <s v="119 Main St"/>
    <x v="1"/>
    <x v="2"/>
    <s v="TRK65994177"/>
    <n v="9"/>
    <s v="FREESHIP"/>
    <x v="2"/>
    <x v="944"/>
  </r>
  <r>
    <s v="ORD200948"/>
    <x v="587"/>
    <s v="C94569"/>
    <x v="1"/>
    <n v="2"/>
    <n v="594.07000000000005"/>
    <s v="739 Main St"/>
    <x v="3"/>
    <x v="1"/>
    <s v="TRK79269291"/>
    <n v="2"/>
    <s v="No Coupon"/>
    <x v="4"/>
    <x v="945"/>
  </r>
  <r>
    <s v="ORD200949"/>
    <x v="576"/>
    <s v="C55778"/>
    <x v="6"/>
    <n v="5"/>
    <n v="110.38"/>
    <s v="319 Main St"/>
    <x v="4"/>
    <x v="4"/>
    <s v="TRK93797108"/>
    <n v="10"/>
    <s v="No Coupon"/>
    <x v="1"/>
    <x v="946"/>
  </r>
  <r>
    <s v="ORD200950"/>
    <x v="583"/>
    <s v="C19722"/>
    <x v="5"/>
    <n v="1"/>
    <n v="596.24"/>
    <s v="891 Main St"/>
    <x v="2"/>
    <x v="2"/>
    <s v="TRK78094361"/>
    <n v="4"/>
    <s v="FREESHIP"/>
    <x v="0"/>
    <x v="947"/>
  </r>
  <r>
    <s v="ORD200951"/>
    <x v="319"/>
    <s v="C74928"/>
    <x v="4"/>
    <n v="2"/>
    <n v="306.24"/>
    <s v="589 Main St"/>
    <x v="1"/>
    <x v="2"/>
    <s v="TRK39845914"/>
    <n v="4"/>
    <s v="FREESHIP"/>
    <x v="2"/>
    <x v="948"/>
  </r>
  <r>
    <s v="ORD200952"/>
    <x v="37"/>
    <s v="C49111"/>
    <x v="0"/>
    <n v="3"/>
    <n v="503.39"/>
    <s v="225 Main St"/>
    <x v="1"/>
    <x v="4"/>
    <s v="TRK45303393"/>
    <n v="5"/>
    <s v="No Coupon"/>
    <x v="3"/>
    <x v="949"/>
  </r>
  <r>
    <s v="ORD200953"/>
    <x v="600"/>
    <s v="C43721"/>
    <x v="1"/>
    <n v="1"/>
    <n v="131.61000000000001"/>
    <s v="971 Main St"/>
    <x v="4"/>
    <x v="0"/>
    <s v="TRK89392104"/>
    <n v="2"/>
    <s v="FREESHIP"/>
    <x v="3"/>
    <x v="950"/>
  </r>
  <r>
    <s v="ORD200954"/>
    <x v="601"/>
    <s v="C68609"/>
    <x v="3"/>
    <n v="3"/>
    <n v="443.44"/>
    <s v="240 Main St"/>
    <x v="3"/>
    <x v="0"/>
    <s v="TRK58273778"/>
    <n v="3"/>
    <s v="FREESHIP"/>
    <x v="4"/>
    <x v="951"/>
  </r>
  <r>
    <s v="ORD200955"/>
    <x v="19"/>
    <s v="C82068"/>
    <x v="3"/>
    <n v="1"/>
    <n v="408.13"/>
    <s v="164 Main St"/>
    <x v="3"/>
    <x v="0"/>
    <s v="TRK25779180"/>
    <n v="3"/>
    <s v="WINTER15"/>
    <x v="0"/>
    <x v="952"/>
  </r>
  <r>
    <s v="ORD200956"/>
    <x v="166"/>
    <s v="C21191"/>
    <x v="1"/>
    <n v="2"/>
    <n v="160.97999999999999"/>
    <s v="381 Main St"/>
    <x v="0"/>
    <x v="3"/>
    <s v="TRK86246309"/>
    <n v="3"/>
    <s v="SAVE10"/>
    <x v="1"/>
    <x v="953"/>
  </r>
  <r>
    <s v="ORD200957"/>
    <x v="602"/>
    <s v="C73575"/>
    <x v="0"/>
    <n v="5"/>
    <n v="643.89"/>
    <s v="851 Main St"/>
    <x v="4"/>
    <x v="2"/>
    <s v="TRK23387612"/>
    <n v="8"/>
    <s v="WINTER15"/>
    <x v="3"/>
    <x v="954"/>
  </r>
  <r>
    <s v="ORD200958"/>
    <x v="603"/>
    <s v="C82685"/>
    <x v="6"/>
    <n v="3"/>
    <n v="158.66"/>
    <s v="537 Main St"/>
    <x v="3"/>
    <x v="3"/>
    <s v="TRK70184320"/>
    <n v="7"/>
    <s v="WINTER15"/>
    <x v="2"/>
    <x v="955"/>
  </r>
  <r>
    <s v="ORD200959"/>
    <x v="604"/>
    <s v="C73996"/>
    <x v="2"/>
    <n v="2"/>
    <n v="143.82"/>
    <s v="856 Main St"/>
    <x v="2"/>
    <x v="2"/>
    <s v="TRK74579570"/>
    <n v="6"/>
    <s v="SAVE10"/>
    <x v="0"/>
    <x v="956"/>
  </r>
  <r>
    <s v="ORD200960"/>
    <x v="66"/>
    <s v="C87687"/>
    <x v="5"/>
    <n v="3"/>
    <n v="379.07"/>
    <s v="312 Main St"/>
    <x v="3"/>
    <x v="4"/>
    <s v="TRK60383805"/>
    <n v="3"/>
    <s v="WINTER15"/>
    <x v="4"/>
    <x v="957"/>
  </r>
  <r>
    <s v="ORD200961"/>
    <x v="435"/>
    <s v="C55464"/>
    <x v="1"/>
    <n v="1"/>
    <n v="601.36"/>
    <s v="532 Main St"/>
    <x v="1"/>
    <x v="0"/>
    <s v="TRK81178598"/>
    <n v="1"/>
    <s v="No Coupon"/>
    <x v="3"/>
    <x v="958"/>
  </r>
  <r>
    <s v="ORD200962"/>
    <x v="605"/>
    <s v="C12459"/>
    <x v="1"/>
    <n v="2"/>
    <n v="142.08000000000001"/>
    <s v="838 Main St"/>
    <x v="3"/>
    <x v="3"/>
    <s v="TRK30674085"/>
    <n v="4"/>
    <s v="SAVE10"/>
    <x v="1"/>
    <x v="959"/>
  </r>
  <r>
    <s v="ORD200963"/>
    <x v="606"/>
    <s v="C88075"/>
    <x v="3"/>
    <n v="5"/>
    <n v="530.34"/>
    <s v="970 Main St"/>
    <x v="1"/>
    <x v="0"/>
    <s v="TRK42832976"/>
    <n v="9"/>
    <s v="FREESHIP"/>
    <x v="4"/>
    <x v="960"/>
  </r>
  <r>
    <s v="ORD200964"/>
    <x v="38"/>
    <s v="C18583"/>
    <x v="1"/>
    <n v="5"/>
    <n v="364.42"/>
    <s v="778 Main St"/>
    <x v="2"/>
    <x v="1"/>
    <s v="TRK43084595"/>
    <n v="10"/>
    <s v="SAVE10"/>
    <x v="1"/>
    <x v="961"/>
  </r>
  <r>
    <s v="ORD200965"/>
    <x v="607"/>
    <s v="C70412"/>
    <x v="5"/>
    <n v="4"/>
    <n v="578.28"/>
    <s v="791 Main St"/>
    <x v="3"/>
    <x v="1"/>
    <s v="TRK22192783"/>
    <n v="5"/>
    <s v="FREESHIP"/>
    <x v="2"/>
    <x v="962"/>
  </r>
  <r>
    <s v="ORD200966"/>
    <x v="608"/>
    <s v="C58503"/>
    <x v="0"/>
    <n v="5"/>
    <n v="280.52"/>
    <s v="290 Main St"/>
    <x v="2"/>
    <x v="1"/>
    <s v="TRK12981657"/>
    <n v="7"/>
    <s v="WINTER15"/>
    <x v="3"/>
    <x v="963"/>
  </r>
  <r>
    <s v="ORD200967"/>
    <x v="138"/>
    <s v="C52879"/>
    <x v="2"/>
    <n v="5"/>
    <n v="638.91999999999996"/>
    <s v="502 Main St"/>
    <x v="2"/>
    <x v="2"/>
    <s v="TRK67403284"/>
    <n v="5"/>
    <s v="FREESHIP"/>
    <x v="4"/>
    <x v="964"/>
  </r>
  <r>
    <s v="ORD200968"/>
    <x v="458"/>
    <s v="C67870"/>
    <x v="0"/>
    <n v="4"/>
    <n v="412.2"/>
    <s v="664 Main St"/>
    <x v="2"/>
    <x v="0"/>
    <s v="TRK72602178"/>
    <n v="6"/>
    <s v="WINTER15"/>
    <x v="1"/>
    <x v="965"/>
  </r>
  <r>
    <s v="ORD200969"/>
    <x v="85"/>
    <s v="C19439"/>
    <x v="6"/>
    <n v="1"/>
    <n v="440.34"/>
    <s v="675 Main St"/>
    <x v="3"/>
    <x v="0"/>
    <s v="TRK25383993"/>
    <n v="2"/>
    <s v="WINTER15"/>
    <x v="3"/>
    <x v="966"/>
  </r>
  <r>
    <s v="ORD200970"/>
    <x v="609"/>
    <s v="C72664"/>
    <x v="6"/>
    <n v="1"/>
    <n v="627.15"/>
    <s v="241 Main St"/>
    <x v="4"/>
    <x v="3"/>
    <s v="TRK86694331"/>
    <n v="5"/>
    <s v="SAVE10"/>
    <x v="0"/>
    <x v="967"/>
  </r>
  <r>
    <s v="ORD200971"/>
    <x v="582"/>
    <s v="C32650"/>
    <x v="0"/>
    <n v="2"/>
    <n v="605.26"/>
    <s v="934 Main St"/>
    <x v="4"/>
    <x v="1"/>
    <s v="TRK66648743"/>
    <n v="4"/>
    <s v="WINTER15"/>
    <x v="1"/>
    <x v="968"/>
  </r>
  <r>
    <s v="ORD200972"/>
    <x v="410"/>
    <s v="C66438"/>
    <x v="5"/>
    <n v="1"/>
    <n v="90.27"/>
    <s v="816 Main St"/>
    <x v="4"/>
    <x v="3"/>
    <s v="TRK32035271"/>
    <n v="5"/>
    <s v="SAVE10"/>
    <x v="3"/>
    <x v="969"/>
  </r>
  <r>
    <s v="ORD200973"/>
    <x v="559"/>
    <s v="C70010"/>
    <x v="6"/>
    <n v="5"/>
    <n v="230.77"/>
    <s v="141 Main St"/>
    <x v="1"/>
    <x v="4"/>
    <s v="TRK50594008"/>
    <n v="10"/>
    <s v="WINTER15"/>
    <x v="1"/>
    <x v="970"/>
  </r>
  <r>
    <s v="ORD200974"/>
    <x v="610"/>
    <s v="C30722"/>
    <x v="6"/>
    <n v="5"/>
    <n v="266.77999999999997"/>
    <s v="274 Main St"/>
    <x v="3"/>
    <x v="1"/>
    <s v="TRK52088168"/>
    <n v="5"/>
    <s v="No Coupon"/>
    <x v="2"/>
    <x v="971"/>
  </r>
  <r>
    <s v="ORD200975"/>
    <x v="419"/>
    <s v="C70529"/>
    <x v="6"/>
    <n v="1"/>
    <n v="105.92"/>
    <s v="974 Main St"/>
    <x v="3"/>
    <x v="2"/>
    <s v="TRK82165408"/>
    <n v="6"/>
    <s v="SAVE10"/>
    <x v="2"/>
    <x v="972"/>
  </r>
  <r>
    <s v="ORD200976"/>
    <x v="172"/>
    <s v="C18984"/>
    <x v="2"/>
    <n v="3"/>
    <n v="589.29999999999995"/>
    <s v="650 Main St"/>
    <x v="2"/>
    <x v="2"/>
    <s v="TRK49298239"/>
    <n v="6"/>
    <s v="WINTER15"/>
    <x v="1"/>
    <x v="973"/>
  </r>
  <r>
    <s v="ORD200977"/>
    <x v="423"/>
    <s v="C85841"/>
    <x v="3"/>
    <n v="4"/>
    <n v="649.47"/>
    <s v="608 Main St"/>
    <x v="4"/>
    <x v="4"/>
    <s v="TRK99820544"/>
    <n v="8"/>
    <s v="SAVE10"/>
    <x v="4"/>
    <x v="974"/>
  </r>
  <r>
    <s v="ORD200978"/>
    <x v="611"/>
    <s v="C41508"/>
    <x v="4"/>
    <n v="4"/>
    <n v="107.49"/>
    <s v="993 Main St"/>
    <x v="4"/>
    <x v="3"/>
    <s v="TRK61047536"/>
    <n v="5"/>
    <s v="No Coupon"/>
    <x v="4"/>
    <x v="975"/>
  </r>
  <r>
    <s v="ORD200979"/>
    <x v="546"/>
    <s v="C75018"/>
    <x v="0"/>
    <n v="3"/>
    <n v="669.06"/>
    <s v="299 Main St"/>
    <x v="4"/>
    <x v="3"/>
    <s v="TRK51794806"/>
    <n v="7"/>
    <s v="SAVE10"/>
    <x v="3"/>
    <x v="976"/>
  </r>
  <r>
    <s v="ORD200980"/>
    <x v="612"/>
    <s v="C84320"/>
    <x v="3"/>
    <n v="3"/>
    <n v="69.650000000000006"/>
    <s v="107 Main St"/>
    <x v="4"/>
    <x v="3"/>
    <s v="TRK81093218"/>
    <n v="7"/>
    <s v="WINTER15"/>
    <x v="0"/>
    <x v="977"/>
  </r>
  <r>
    <s v="ORD200981"/>
    <x v="371"/>
    <s v="C12609"/>
    <x v="1"/>
    <n v="4"/>
    <n v="136.83000000000001"/>
    <s v="490 Main St"/>
    <x v="0"/>
    <x v="4"/>
    <s v="TRK56379337"/>
    <n v="8"/>
    <s v="SAVE10"/>
    <x v="2"/>
    <x v="978"/>
  </r>
  <r>
    <s v="ORD200982"/>
    <x v="605"/>
    <s v="C64935"/>
    <x v="0"/>
    <n v="1"/>
    <n v="304.11"/>
    <s v="707 Main St"/>
    <x v="3"/>
    <x v="0"/>
    <s v="TRK42969065"/>
    <n v="2"/>
    <s v="SAVE10"/>
    <x v="1"/>
    <x v="979"/>
  </r>
  <r>
    <s v="ORD200983"/>
    <x v="167"/>
    <s v="C67528"/>
    <x v="0"/>
    <n v="4"/>
    <n v="296.27999999999997"/>
    <s v="110 Main St"/>
    <x v="3"/>
    <x v="0"/>
    <s v="TRK60865210"/>
    <n v="5"/>
    <s v="SAVE10"/>
    <x v="2"/>
    <x v="980"/>
  </r>
  <r>
    <s v="ORD200984"/>
    <x v="252"/>
    <s v="C44176"/>
    <x v="6"/>
    <n v="1"/>
    <n v="77.64"/>
    <s v="706 Main St"/>
    <x v="2"/>
    <x v="0"/>
    <s v="TRK68704764"/>
    <n v="1"/>
    <s v="FREESHIP"/>
    <x v="3"/>
    <x v="981"/>
  </r>
  <r>
    <s v="ORD200985"/>
    <x v="351"/>
    <s v="C92788"/>
    <x v="6"/>
    <n v="1"/>
    <n v="243.71"/>
    <s v="948 Main St"/>
    <x v="3"/>
    <x v="3"/>
    <s v="TRK83835361"/>
    <n v="6"/>
    <s v="SAVE10"/>
    <x v="4"/>
    <x v="982"/>
  </r>
  <r>
    <s v="ORD200986"/>
    <x v="609"/>
    <s v="C69213"/>
    <x v="5"/>
    <n v="4"/>
    <n v="644.96"/>
    <s v="533 Main St"/>
    <x v="2"/>
    <x v="4"/>
    <s v="TRK67837331"/>
    <n v="7"/>
    <s v="FREESHIP"/>
    <x v="2"/>
    <x v="983"/>
  </r>
  <r>
    <s v="ORD200987"/>
    <x v="85"/>
    <s v="C67387"/>
    <x v="1"/>
    <n v="5"/>
    <n v="283.73"/>
    <s v="436 Main St"/>
    <x v="3"/>
    <x v="4"/>
    <s v="TRK54120003"/>
    <n v="8"/>
    <s v="FREESHIP"/>
    <x v="0"/>
    <x v="984"/>
  </r>
  <r>
    <s v="ORD200988"/>
    <x v="496"/>
    <s v="C90318"/>
    <x v="6"/>
    <n v="2"/>
    <n v="629.55999999999995"/>
    <s v="818 Main St"/>
    <x v="3"/>
    <x v="1"/>
    <s v="TRK52765043"/>
    <n v="5"/>
    <s v="WINTER15"/>
    <x v="0"/>
    <x v="985"/>
  </r>
  <r>
    <s v="ORD200989"/>
    <x v="613"/>
    <s v="C49995"/>
    <x v="5"/>
    <n v="4"/>
    <n v="246.11"/>
    <s v="559 Main St"/>
    <x v="2"/>
    <x v="4"/>
    <s v="TRK33212013"/>
    <n v="4"/>
    <s v="SAVE10"/>
    <x v="0"/>
    <x v="986"/>
  </r>
  <r>
    <s v="ORD200990"/>
    <x v="614"/>
    <s v="C52313"/>
    <x v="1"/>
    <n v="2"/>
    <n v="418.26"/>
    <s v="913 Main St"/>
    <x v="0"/>
    <x v="4"/>
    <s v="TRK67368559"/>
    <n v="2"/>
    <s v="SAVE10"/>
    <x v="4"/>
    <x v="987"/>
  </r>
  <r>
    <s v="ORD200991"/>
    <x v="593"/>
    <s v="C10211"/>
    <x v="6"/>
    <n v="5"/>
    <n v="127.18"/>
    <s v="598 Main St"/>
    <x v="0"/>
    <x v="1"/>
    <s v="TRK68938335"/>
    <n v="10"/>
    <s v="FREESHIP"/>
    <x v="4"/>
    <x v="66"/>
  </r>
  <r>
    <s v="ORD200992"/>
    <x v="615"/>
    <s v="C97907"/>
    <x v="4"/>
    <n v="3"/>
    <n v="586.21"/>
    <s v="933 Main St"/>
    <x v="3"/>
    <x v="4"/>
    <s v="TRK89637569"/>
    <n v="4"/>
    <s v="WINTER15"/>
    <x v="1"/>
    <x v="988"/>
  </r>
  <r>
    <s v="ORD200993"/>
    <x v="616"/>
    <s v="C61384"/>
    <x v="0"/>
    <n v="3"/>
    <n v="267.45"/>
    <s v="576 Main St"/>
    <x v="3"/>
    <x v="3"/>
    <s v="TRK33323210"/>
    <n v="5"/>
    <s v="WINTER15"/>
    <x v="0"/>
    <x v="989"/>
  </r>
  <r>
    <s v="ORD200994"/>
    <x v="326"/>
    <s v="C27613"/>
    <x v="2"/>
    <n v="4"/>
    <n v="615.65"/>
    <s v="971 Main St"/>
    <x v="0"/>
    <x v="3"/>
    <s v="TRK63701318"/>
    <n v="9"/>
    <s v="WINTER15"/>
    <x v="4"/>
    <x v="990"/>
  </r>
  <r>
    <s v="ORD200995"/>
    <x v="134"/>
    <s v="C99271"/>
    <x v="0"/>
    <n v="2"/>
    <n v="113.29"/>
    <s v="959 Main St"/>
    <x v="4"/>
    <x v="4"/>
    <s v="TRK87832736"/>
    <n v="5"/>
    <s v="SAVE10"/>
    <x v="3"/>
    <x v="991"/>
  </r>
  <r>
    <s v="ORD200996"/>
    <x v="578"/>
    <s v="C28648"/>
    <x v="0"/>
    <n v="4"/>
    <n v="473.86"/>
    <s v="101 Main St"/>
    <x v="0"/>
    <x v="3"/>
    <s v="TRK92240846"/>
    <n v="7"/>
    <s v="SAVE10"/>
    <x v="3"/>
    <x v="992"/>
  </r>
  <r>
    <s v="ORD200997"/>
    <x v="110"/>
    <s v="C26210"/>
    <x v="5"/>
    <n v="3"/>
    <n v="444.75"/>
    <s v="805 Main St"/>
    <x v="4"/>
    <x v="3"/>
    <s v="TRK40616861"/>
    <n v="6"/>
    <s v="SAVE10"/>
    <x v="3"/>
    <x v="993"/>
  </r>
  <r>
    <s v="ORD200998"/>
    <x v="213"/>
    <s v="C90350"/>
    <x v="1"/>
    <n v="2"/>
    <n v="183.67"/>
    <s v="783 Main St"/>
    <x v="0"/>
    <x v="1"/>
    <s v="TRK22824230"/>
    <n v="6"/>
    <s v="SAVE10"/>
    <x v="4"/>
    <x v="357"/>
  </r>
  <r>
    <s v="ORD200999"/>
    <x v="478"/>
    <s v="C61957"/>
    <x v="4"/>
    <n v="1"/>
    <n v="483.38"/>
    <s v="652 Main St"/>
    <x v="4"/>
    <x v="4"/>
    <s v="TRK43983841"/>
    <n v="6"/>
    <s v="FREESHIP"/>
    <x v="4"/>
    <x v="994"/>
  </r>
  <r>
    <s v="ORD201000"/>
    <x v="617"/>
    <s v="C90132"/>
    <x v="4"/>
    <n v="5"/>
    <n v="260.93"/>
    <s v="582 Main St"/>
    <x v="1"/>
    <x v="3"/>
    <s v="TRK52664903"/>
    <n v="9"/>
    <s v="SAVE10"/>
    <x v="2"/>
    <x v="995"/>
  </r>
  <r>
    <s v="ORD201001"/>
    <x v="618"/>
    <s v="C31371"/>
    <x v="4"/>
    <n v="2"/>
    <n v="253.68"/>
    <s v="122 Main St"/>
    <x v="3"/>
    <x v="0"/>
    <s v="TRK19554327"/>
    <n v="6"/>
    <s v="No Coupon"/>
    <x v="1"/>
    <x v="996"/>
  </r>
  <r>
    <s v="ORD201002"/>
    <x v="619"/>
    <s v="C83911"/>
    <x v="2"/>
    <n v="4"/>
    <n v="699.88"/>
    <s v="944 Main St"/>
    <x v="4"/>
    <x v="4"/>
    <s v="TRK33188106"/>
    <n v="5"/>
    <s v="WINTER15"/>
    <x v="1"/>
    <x v="997"/>
  </r>
  <r>
    <s v="ORD201003"/>
    <x v="348"/>
    <s v="C84700"/>
    <x v="4"/>
    <n v="5"/>
    <n v="319.97000000000003"/>
    <s v="582 Main St"/>
    <x v="4"/>
    <x v="0"/>
    <s v="TRK14706969"/>
    <n v="7"/>
    <s v="SAVE10"/>
    <x v="4"/>
    <x v="998"/>
  </r>
  <r>
    <s v="ORD201004"/>
    <x v="559"/>
    <s v="C87529"/>
    <x v="3"/>
    <n v="4"/>
    <n v="246.91"/>
    <s v="296 Main St"/>
    <x v="1"/>
    <x v="4"/>
    <s v="TRK15739505"/>
    <n v="8"/>
    <s v="SAVE10"/>
    <x v="1"/>
    <x v="999"/>
  </r>
  <r>
    <s v="ORD201005"/>
    <x v="521"/>
    <s v="C38065"/>
    <x v="4"/>
    <n v="3"/>
    <n v="392.85"/>
    <s v="426 Main St"/>
    <x v="2"/>
    <x v="2"/>
    <s v="TRK11448295"/>
    <n v="6"/>
    <s v="No Coupon"/>
    <x v="4"/>
    <x v="1000"/>
  </r>
  <r>
    <s v="ORD201006"/>
    <x v="582"/>
    <s v="C27435"/>
    <x v="2"/>
    <n v="5"/>
    <n v="420.98"/>
    <s v="860 Main St"/>
    <x v="4"/>
    <x v="3"/>
    <s v="TRK91458233"/>
    <n v="7"/>
    <s v="SAVE10"/>
    <x v="3"/>
    <x v="1001"/>
  </r>
  <r>
    <s v="ORD201007"/>
    <x v="591"/>
    <s v="C46651"/>
    <x v="0"/>
    <n v="2"/>
    <n v="73.260000000000005"/>
    <s v="839 Main St"/>
    <x v="4"/>
    <x v="4"/>
    <s v="TRK60444502"/>
    <n v="4"/>
    <s v="WINTER15"/>
    <x v="3"/>
    <x v="1002"/>
  </r>
  <r>
    <s v="ORD201008"/>
    <x v="620"/>
    <s v="C62557"/>
    <x v="0"/>
    <n v="3"/>
    <n v="410.88"/>
    <s v="257 Main St"/>
    <x v="4"/>
    <x v="3"/>
    <s v="TRK12742366"/>
    <n v="8"/>
    <s v="FREESHIP"/>
    <x v="0"/>
    <x v="1003"/>
  </r>
  <r>
    <s v="ORD201009"/>
    <x v="621"/>
    <s v="C54494"/>
    <x v="2"/>
    <n v="2"/>
    <n v="176.46"/>
    <s v="696 Main St"/>
    <x v="2"/>
    <x v="3"/>
    <s v="TRK95958645"/>
    <n v="2"/>
    <s v="FREESHIP"/>
    <x v="2"/>
    <x v="1004"/>
  </r>
  <r>
    <s v="ORD201010"/>
    <x v="622"/>
    <s v="C33729"/>
    <x v="0"/>
    <n v="3"/>
    <n v="659.57"/>
    <s v="533 Main St"/>
    <x v="2"/>
    <x v="1"/>
    <s v="TRK35649833"/>
    <n v="6"/>
    <s v="SAVE10"/>
    <x v="2"/>
    <x v="1005"/>
  </r>
  <r>
    <s v="ORD201011"/>
    <x v="623"/>
    <s v="C47823"/>
    <x v="1"/>
    <n v="2"/>
    <n v="478.36"/>
    <s v="654 Main St"/>
    <x v="1"/>
    <x v="0"/>
    <s v="TRK22271097"/>
    <n v="3"/>
    <s v="No Coupon"/>
    <x v="4"/>
    <x v="1006"/>
  </r>
  <r>
    <s v="ORD201012"/>
    <x v="623"/>
    <s v="C84570"/>
    <x v="4"/>
    <n v="4"/>
    <n v="30.05"/>
    <s v="301 Main St"/>
    <x v="1"/>
    <x v="2"/>
    <s v="TRK12551882"/>
    <n v="6"/>
    <s v="No Coupon"/>
    <x v="3"/>
    <x v="1007"/>
  </r>
  <r>
    <s v="ORD201013"/>
    <x v="624"/>
    <s v="C91123"/>
    <x v="5"/>
    <n v="4"/>
    <n v="300.56"/>
    <s v="842 Main St"/>
    <x v="4"/>
    <x v="1"/>
    <s v="TRK49568409"/>
    <n v="9"/>
    <s v="FREESHIP"/>
    <x v="3"/>
    <x v="1008"/>
  </r>
  <r>
    <s v="ORD201014"/>
    <x v="389"/>
    <s v="C92548"/>
    <x v="2"/>
    <n v="5"/>
    <n v="226.45"/>
    <s v="160 Main St"/>
    <x v="0"/>
    <x v="2"/>
    <s v="TRK21682892"/>
    <n v="6"/>
    <s v="FREESHIP"/>
    <x v="2"/>
    <x v="1009"/>
  </r>
  <r>
    <s v="ORD201015"/>
    <x v="547"/>
    <s v="C97454"/>
    <x v="4"/>
    <n v="2"/>
    <n v="349.4"/>
    <s v="892 Main St"/>
    <x v="1"/>
    <x v="0"/>
    <s v="TRK73249329"/>
    <n v="2"/>
    <s v="SAVE10"/>
    <x v="0"/>
    <x v="1010"/>
  </r>
  <r>
    <s v="ORD201016"/>
    <x v="10"/>
    <s v="C20257"/>
    <x v="2"/>
    <n v="5"/>
    <n v="268.77999999999997"/>
    <s v="669 Main St"/>
    <x v="0"/>
    <x v="3"/>
    <s v="TRK62135578"/>
    <n v="7"/>
    <s v="WINTER15"/>
    <x v="2"/>
    <x v="1011"/>
  </r>
  <r>
    <s v="ORD201017"/>
    <x v="625"/>
    <s v="C51694"/>
    <x v="3"/>
    <n v="2"/>
    <n v="680.85"/>
    <s v="953 Main St"/>
    <x v="3"/>
    <x v="3"/>
    <s v="TRK83122112"/>
    <n v="6"/>
    <s v="FREESHIP"/>
    <x v="1"/>
    <x v="1012"/>
  </r>
  <r>
    <s v="ORD201018"/>
    <x v="307"/>
    <s v="C77499"/>
    <x v="5"/>
    <n v="3"/>
    <n v="182.48"/>
    <s v="209 Main St"/>
    <x v="4"/>
    <x v="3"/>
    <s v="TRK20703086"/>
    <n v="3"/>
    <s v="No Coupon"/>
    <x v="0"/>
    <x v="1013"/>
  </r>
  <r>
    <s v="ORD201019"/>
    <x v="616"/>
    <s v="C28386"/>
    <x v="6"/>
    <n v="1"/>
    <n v="277.08999999999997"/>
    <s v="293 Main St"/>
    <x v="4"/>
    <x v="2"/>
    <s v="TRK32954229"/>
    <n v="2"/>
    <s v="SAVE10"/>
    <x v="1"/>
    <x v="1014"/>
  </r>
  <r>
    <s v="ORD201020"/>
    <x v="181"/>
    <s v="C50211"/>
    <x v="2"/>
    <n v="2"/>
    <n v="26.5"/>
    <s v="312 Main St"/>
    <x v="1"/>
    <x v="3"/>
    <s v="TRK47787981"/>
    <n v="3"/>
    <s v="SAVE10"/>
    <x v="0"/>
    <x v="1015"/>
  </r>
  <r>
    <s v="ORD201021"/>
    <x v="5"/>
    <s v="C74519"/>
    <x v="1"/>
    <n v="3"/>
    <n v="315.27"/>
    <s v="309 Main St"/>
    <x v="2"/>
    <x v="1"/>
    <s v="TRK97351945"/>
    <n v="4"/>
    <s v="SAVE10"/>
    <x v="2"/>
    <x v="1016"/>
  </r>
  <r>
    <s v="ORD201022"/>
    <x v="522"/>
    <s v="C19071"/>
    <x v="2"/>
    <n v="3"/>
    <n v="450.98"/>
    <s v="396 Main St"/>
    <x v="2"/>
    <x v="0"/>
    <s v="TRK66537096"/>
    <n v="8"/>
    <s v="SAVE10"/>
    <x v="1"/>
    <x v="1017"/>
  </r>
  <r>
    <s v="ORD201023"/>
    <x v="296"/>
    <s v="C65251"/>
    <x v="5"/>
    <n v="5"/>
    <n v="233.67"/>
    <s v="291 Main St"/>
    <x v="4"/>
    <x v="0"/>
    <s v="TRK32059025"/>
    <n v="10"/>
    <s v="No Coupon"/>
    <x v="1"/>
    <x v="1018"/>
  </r>
  <r>
    <s v="ORD201024"/>
    <x v="412"/>
    <s v="C90612"/>
    <x v="3"/>
    <n v="3"/>
    <n v="367.75"/>
    <s v="731 Main St"/>
    <x v="4"/>
    <x v="4"/>
    <s v="TRK93022878"/>
    <n v="7"/>
    <s v="FREESHIP"/>
    <x v="3"/>
    <x v="1019"/>
  </r>
  <r>
    <s v="ORD201025"/>
    <x v="271"/>
    <s v="C28406"/>
    <x v="3"/>
    <n v="1"/>
    <n v="23.53"/>
    <s v="174 Main St"/>
    <x v="3"/>
    <x v="3"/>
    <s v="TRK98841457"/>
    <n v="2"/>
    <s v="FREESHIP"/>
    <x v="0"/>
    <x v="1020"/>
  </r>
  <r>
    <s v="ORD201026"/>
    <x v="31"/>
    <s v="C55454"/>
    <x v="0"/>
    <n v="1"/>
    <n v="677.48"/>
    <s v="807 Main St"/>
    <x v="1"/>
    <x v="3"/>
    <s v="TRK13281370"/>
    <n v="1"/>
    <s v="WINTER15"/>
    <x v="3"/>
    <x v="1021"/>
  </r>
  <r>
    <s v="ORD201027"/>
    <x v="626"/>
    <s v="C93467"/>
    <x v="5"/>
    <n v="4"/>
    <n v="554.83000000000004"/>
    <s v="983 Main St"/>
    <x v="4"/>
    <x v="2"/>
    <s v="TRK77377373"/>
    <n v="6"/>
    <s v="No Coupon"/>
    <x v="4"/>
    <x v="1022"/>
  </r>
  <r>
    <s v="ORD201028"/>
    <x v="96"/>
    <s v="C60042"/>
    <x v="6"/>
    <n v="4"/>
    <n v="440.31"/>
    <s v="610 Main St"/>
    <x v="4"/>
    <x v="1"/>
    <s v="TRK84651559"/>
    <n v="6"/>
    <s v="No Coupon"/>
    <x v="0"/>
    <x v="1023"/>
  </r>
  <r>
    <s v="ORD201029"/>
    <x v="627"/>
    <s v="C44733"/>
    <x v="6"/>
    <n v="1"/>
    <n v="87.06"/>
    <s v="851 Main St"/>
    <x v="2"/>
    <x v="0"/>
    <s v="TRK41500198"/>
    <n v="4"/>
    <s v="FREESHIP"/>
    <x v="2"/>
    <x v="1024"/>
  </r>
  <r>
    <s v="ORD201030"/>
    <x v="276"/>
    <s v="C61773"/>
    <x v="1"/>
    <n v="4"/>
    <n v="245.28"/>
    <s v="176 Main St"/>
    <x v="2"/>
    <x v="3"/>
    <s v="TRK12936357"/>
    <n v="6"/>
    <s v="WINTER15"/>
    <x v="2"/>
    <x v="1025"/>
  </r>
  <r>
    <s v="ORD201031"/>
    <x v="285"/>
    <s v="C59183"/>
    <x v="1"/>
    <n v="5"/>
    <n v="664.51"/>
    <s v="136 Main St"/>
    <x v="0"/>
    <x v="4"/>
    <s v="TRK18129706"/>
    <n v="8"/>
    <s v="SAVE10"/>
    <x v="2"/>
    <x v="1026"/>
  </r>
  <r>
    <s v="ORD201032"/>
    <x v="197"/>
    <s v="C26188"/>
    <x v="3"/>
    <n v="1"/>
    <n v="618.67999999999995"/>
    <s v="990 Main St"/>
    <x v="1"/>
    <x v="3"/>
    <s v="TRK61634201"/>
    <n v="6"/>
    <s v="WINTER15"/>
    <x v="1"/>
    <x v="1027"/>
  </r>
  <r>
    <s v="ORD201033"/>
    <x v="628"/>
    <s v="C20338"/>
    <x v="0"/>
    <n v="1"/>
    <n v="370.85"/>
    <s v="331 Main St"/>
    <x v="3"/>
    <x v="3"/>
    <s v="TRK30654048"/>
    <n v="2"/>
    <s v="FREESHIP"/>
    <x v="1"/>
    <x v="1028"/>
  </r>
  <r>
    <s v="ORD201034"/>
    <x v="452"/>
    <s v="C84524"/>
    <x v="4"/>
    <n v="4"/>
    <n v="517.98"/>
    <s v="766 Main St"/>
    <x v="4"/>
    <x v="1"/>
    <s v="TRK76751888"/>
    <n v="8"/>
    <s v="FREESHIP"/>
    <x v="3"/>
    <x v="1029"/>
  </r>
  <r>
    <s v="ORD201035"/>
    <x v="629"/>
    <s v="C70315"/>
    <x v="5"/>
    <n v="4"/>
    <n v="506.11"/>
    <s v="911 Main St"/>
    <x v="4"/>
    <x v="1"/>
    <s v="TRK97732085"/>
    <n v="5"/>
    <s v="No Coupon"/>
    <x v="1"/>
    <x v="1030"/>
  </r>
  <r>
    <s v="ORD201036"/>
    <x v="583"/>
    <s v="C98278"/>
    <x v="1"/>
    <n v="3"/>
    <n v="413.83"/>
    <s v="552 Main St"/>
    <x v="3"/>
    <x v="0"/>
    <s v="TRK49684737"/>
    <n v="8"/>
    <s v="SAVE10"/>
    <x v="3"/>
    <x v="1031"/>
  </r>
  <r>
    <s v="ORD201037"/>
    <x v="141"/>
    <s v="C32347"/>
    <x v="4"/>
    <n v="1"/>
    <n v="249.81"/>
    <s v="408 Main St"/>
    <x v="4"/>
    <x v="4"/>
    <s v="TRK54073964"/>
    <n v="1"/>
    <s v="SAVE10"/>
    <x v="4"/>
    <x v="1032"/>
  </r>
  <r>
    <s v="ORD201038"/>
    <x v="175"/>
    <s v="C77961"/>
    <x v="2"/>
    <n v="3"/>
    <n v="362.53"/>
    <s v="422 Main St"/>
    <x v="0"/>
    <x v="2"/>
    <s v="TRK28969024"/>
    <n v="5"/>
    <s v="No Coupon"/>
    <x v="3"/>
    <x v="1033"/>
  </r>
  <r>
    <s v="ORD201039"/>
    <x v="164"/>
    <s v="C49137"/>
    <x v="6"/>
    <n v="2"/>
    <n v="299.23"/>
    <s v="177 Main St"/>
    <x v="2"/>
    <x v="1"/>
    <s v="TRK79362428"/>
    <n v="2"/>
    <s v="WINTER15"/>
    <x v="0"/>
    <x v="1034"/>
  </r>
  <r>
    <s v="ORD201040"/>
    <x v="375"/>
    <s v="C13169"/>
    <x v="2"/>
    <n v="1"/>
    <n v="536.07000000000005"/>
    <s v="932 Main St"/>
    <x v="0"/>
    <x v="3"/>
    <s v="TRK66288666"/>
    <n v="5"/>
    <s v="FREESHIP"/>
    <x v="4"/>
    <x v="1035"/>
  </r>
  <r>
    <s v="ORD201041"/>
    <x v="91"/>
    <s v="C21167"/>
    <x v="0"/>
    <n v="4"/>
    <n v="558.9"/>
    <s v="948 Main St"/>
    <x v="3"/>
    <x v="0"/>
    <s v="TRK97737564"/>
    <n v="9"/>
    <s v="WINTER15"/>
    <x v="4"/>
    <x v="1036"/>
  </r>
  <r>
    <s v="ORD201042"/>
    <x v="65"/>
    <s v="C59724"/>
    <x v="2"/>
    <n v="2"/>
    <n v="409.75"/>
    <s v="414 Main St"/>
    <x v="0"/>
    <x v="0"/>
    <s v="TRK67878272"/>
    <n v="2"/>
    <s v="WINTER15"/>
    <x v="3"/>
    <x v="1037"/>
  </r>
  <r>
    <s v="ORD201043"/>
    <x v="630"/>
    <s v="C43965"/>
    <x v="2"/>
    <n v="2"/>
    <n v="179.96"/>
    <s v="675 Main St"/>
    <x v="3"/>
    <x v="0"/>
    <s v="TRK94346739"/>
    <n v="5"/>
    <s v="No Coupon"/>
    <x v="0"/>
    <x v="1038"/>
  </r>
  <r>
    <s v="ORD201044"/>
    <x v="450"/>
    <s v="C63018"/>
    <x v="4"/>
    <n v="1"/>
    <n v="38.49"/>
    <s v="215 Main St"/>
    <x v="2"/>
    <x v="3"/>
    <s v="TRK52335337"/>
    <n v="4"/>
    <s v="FREESHIP"/>
    <x v="1"/>
    <x v="1039"/>
  </r>
  <r>
    <s v="ORD201045"/>
    <x v="28"/>
    <s v="C11893"/>
    <x v="5"/>
    <n v="5"/>
    <n v="316.39999999999998"/>
    <s v="671 Main St"/>
    <x v="3"/>
    <x v="2"/>
    <s v="TRK72012758"/>
    <n v="7"/>
    <s v="No Coupon"/>
    <x v="2"/>
    <x v="1040"/>
  </r>
  <r>
    <s v="ORD201046"/>
    <x v="550"/>
    <s v="C85421"/>
    <x v="2"/>
    <n v="3"/>
    <n v="547.15"/>
    <s v="466 Main St"/>
    <x v="1"/>
    <x v="0"/>
    <s v="TRK16524006"/>
    <n v="4"/>
    <s v="WINTER15"/>
    <x v="0"/>
    <x v="1041"/>
  </r>
  <r>
    <s v="ORD201047"/>
    <x v="467"/>
    <s v="C81726"/>
    <x v="3"/>
    <n v="4"/>
    <n v="540.34"/>
    <s v="394 Main St"/>
    <x v="3"/>
    <x v="0"/>
    <s v="TRK69872994"/>
    <n v="6"/>
    <s v="WINTER15"/>
    <x v="1"/>
    <x v="1042"/>
  </r>
  <r>
    <s v="ORD201048"/>
    <x v="82"/>
    <s v="C57601"/>
    <x v="0"/>
    <n v="4"/>
    <n v="73.650000000000006"/>
    <s v="889 Main St"/>
    <x v="0"/>
    <x v="0"/>
    <s v="TRK21153699"/>
    <n v="9"/>
    <s v="No Coupon"/>
    <x v="4"/>
    <x v="1043"/>
  </r>
  <r>
    <s v="ORD201049"/>
    <x v="408"/>
    <s v="C60575"/>
    <x v="6"/>
    <n v="5"/>
    <n v="391.86"/>
    <s v="587 Main St"/>
    <x v="2"/>
    <x v="0"/>
    <s v="TRK44468232"/>
    <n v="6"/>
    <s v="No Coupon"/>
    <x v="0"/>
    <x v="1044"/>
  </r>
  <r>
    <s v="ORD201050"/>
    <x v="38"/>
    <s v="C70659"/>
    <x v="5"/>
    <n v="5"/>
    <n v="69.7"/>
    <s v="722 Main St"/>
    <x v="1"/>
    <x v="2"/>
    <s v="TRK49663597"/>
    <n v="9"/>
    <s v="No Coupon"/>
    <x v="0"/>
    <x v="1045"/>
  </r>
  <r>
    <s v="ORD201051"/>
    <x v="376"/>
    <s v="C35043"/>
    <x v="0"/>
    <n v="5"/>
    <n v="26.43"/>
    <s v="820 Main St"/>
    <x v="3"/>
    <x v="0"/>
    <s v="TRK65097450"/>
    <n v="5"/>
    <s v="FREESHIP"/>
    <x v="3"/>
    <x v="1046"/>
  </r>
  <r>
    <s v="ORD201052"/>
    <x v="631"/>
    <s v="C12301"/>
    <x v="2"/>
    <n v="1"/>
    <n v="531.74"/>
    <s v="493 Main St"/>
    <x v="1"/>
    <x v="0"/>
    <s v="TRK25145796"/>
    <n v="1"/>
    <s v="WINTER15"/>
    <x v="4"/>
    <x v="1047"/>
  </r>
  <r>
    <s v="ORD201053"/>
    <x v="632"/>
    <s v="C32798"/>
    <x v="1"/>
    <n v="2"/>
    <n v="496.62"/>
    <s v="679 Main St"/>
    <x v="1"/>
    <x v="4"/>
    <s v="TRK37375451"/>
    <n v="2"/>
    <s v="SAVE10"/>
    <x v="0"/>
    <x v="1048"/>
  </r>
  <r>
    <s v="ORD201054"/>
    <x v="633"/>
    <s v="C42949"/>
    <x v="4"/>
    <n v="1"/>
    <n v="660.66"/>
    <s v="447 Main St"/>
    <x v="0"/>
    <x v="3"/>
    <s v="TRK46415143"/>
    <n v="3"/>
    <s v="WINTER15"/>
    <x v="0"/>
    <x v="1049"/>
  </r>
  <r>
    <s v="ORD201055"/>
    <x v="5"/>
    <s v="C10787"/>
    <x v="0"/>
    <n v="4"/>
    <n v="274.82"/>
    <s v="932 Main St"/>
    <x v="0"/>
    <x v="3"/>
    <s v="TRK91512567"/>
    <n v="9"/>
    <s v="WINTER15"/>
    <x v="2"/>
    <x v="1050"/>
  </r>
  <r>
    <s v="ORD201056"/>
    <x v="280"/>
    <s v="C26152"/>
    <x v="1"/>
    <n v="2"/>
    <n v="486.35"/>
    <s v="790 Main St"/>
    <x v="1"/>
    <x v="4"/>
    <s v="TRK49382455"/>
    <n v="6"/>
    <s v="SAVE10"/>
    <x v="1"/>
    <x v="1051"/>
  </r>
  <r>
    <s v="ORD201057"/>
    <x v="634"/>
    <s v="C46210"/>
    <x v="5"/>
    <n v="3"/>
    <n v="428.88"/>
    <s v="535 Main St"/>
    <x v="0"/>
    <x v="0"/>
    <s v="TRK81611937"/>
    <n v="3"/>
    <s v="WINTER15"/>
    <x v="3"/>
    <x v="1052"/>
  </r>
  <r>
    <s v="ORD201058"/>
    <x v="102"/>
    <s v="C32943"/>
    <x v="6"/>
    <n v="2"/>
    <n v="412.14"/>
    <s v="127 Main St"/>
    <x v="2"/>
    <x v="2"/>
    <s v="TRK26949106"/>
    <n v="2"/>
    <s v="FREESHIP"/>
    <x v="0"/>
    <x v="1053"/>
  </r>
  <r>
    <s v="ORD201059"/>
    <x v="491"/>
    <s v="C73629"/>
    <x v="6"/>
    <n v="1"/>
    <n v="265.64"/>
    <s v="601 Main St"/>
    <x v="2"/>
    <x v="2"/>
    <s v="TRK11492924"/>
    <n v="3"/>
    <s v="WINTER15"/>
    <x v="0"/>
    <x v="1054"/>
  </r>
  <r>
    <s v="ORD201060"/>
    <x v="635"/>
    <s v="C38024"/>
    <x v="2"/>
    <n v="2"/>
    <n v="273.43"/>
    <s v="824 Main St"/>
    <x v="4"/>
    <x v="0"/>
    <s v="TRK93370912"/>
    <n v="7"/>
    <s v="WINTER15"/>
    <x v="1"/>
    <x v="1055"/>
  </r>
  <r>
    <s v="ORD201061"/>
    <x v="636"/>
    <s v="C25445"/>
    <x v="5"/>
    <n v="5"/>
    <n v="131.69999999999999"/>
    <s v="830 Main St"/>
    <x v="4"/>
    <x v="0"/>
    <s v="TRK12402431"/>
    <n v="8"/>
    <s v="FREESHIP"/>
    <x v="4"/>
    <x v="1056"/>
  </r>
  <r>
    <s v="ORD201062"/>
    <x v="421"/>
    <s v="C13501"/>
    <x v="3"/>
    <n v="5"/>
    <n v="85.52"/>
    <s v="301 Main St"/>
    <x v="3"/>
    <x v="1"/>
    <s v="TRK65149372"/>
    <n v="5"/>
    <s v="No Coupon"/>
    <x v="3"/>
    <x v="1057"/>
  </r>
  <r>
    <s v="ORD201063"/>
    <x v="83"/>
    <s v="C42108"/>
    <x v="6"/>
    <n v="2"/>
    <n v="320.68"/>
    <s v="336 Main St"/>
    <x v="2"/>
    <x v="0"/>
    <s v="TRK58407918"/>
    <n v="5"/>
    <s v="FREESHIP"/>
    <x v="1"/>
    <x v="1058"/>
  </r>
  <r>
    <s v="ORD201064"/>
    <x v="637"/>
    <s v="C32121"/>
    <x v="5"/>
    <n v="4"/>
    <n v="198.81"/>
    <s v="654 Main St"/>
    <x v="4"/>
    <x v="2"/>
    <s v="TRK96074264"/>
    <n v="9"/>
    <s v="FREESHIP"/>
    <x v="1"/>
    <x v="1059"/>
  </r>
  <r>
    <s v="ORD201065"/>
    <x v="638"/>
    <s v="C47778"/>
    <x v="4"/>
    <n v="5"/>
    <n v="666.8"/>
    <s v="488 Main St"/>
    <x v="0"/>
    <x v="3"/>
    <s v="TRK79504329"/>
    <n v="7"/>
    <s v="SAVE10"/>
    <x v="1"/>
    <x v="1060"/>
  </r>
  <r>
    <s v="ORD201066"/>
    <x v="639"/>
    <s v="C10791"/>
    <x v="6"/>
    <n v="1"/>
    <n v="355.09"/>
    <s v="674 Main St"/>
    <x v="0"/>
    <x v="1"/>
    <s v="TRK20321248"/>
    <n v="5"/>
    <s v="SAVE10"/>
    <x v="0"/>
    <x v="1061"/>
  </r>
  <r>
    <s v="ORD201067"/>
    <x v="640"/>
    <s v="C78959"/>
    <x v="1"/>
    <n v="2"/>
    <n v="316.2"/>
    <s v="384 Main St"/>
    <x v="1"/>
    <x v="2"/>
    <s v="TRK37426359"/>
    <n v="2"/>
    <s v="No Coupon"/>
    <x v="0"/>
    <x v="1062"/>
  </r>
  <r>
    <s v="ORD201068"/>
    <x v="240"/>
    <s v="C29914"/>
    <x v="5"/>
    <n v="1"/>
    <n v="133.38999999999999"/>
    <s v="469 Main St"/>
    <x v="0"/>
    <x v="0"/>
    <s v="TRK22073506"/>
    <n v="2"/>
    <s v="SAVE10"/>
    <x v="1"/>
    <x v="1063"/>
  </r>
  <r>
    <s v="ORD201069"/>
    <x v="641"/>
    <s v="C70506"/>
    <x v="0"/>
    <n v="1"/>
    <n v="454.23"/>
    <s v="255 Main St"/>
    <x v="3"/>
    <x v="2"/>
    <s v="TRK12518384"/>
    <n v="3"/>
    <s v="No Coupon"/>
    <x v="3"/>
    <x v="1064"/>
  </r>
  <r>
    <s v="ORD201070"/>
    <x v="605"/>
    <s v="C46873"/>
    <x v="6"/>
    <n v="4"/>
    <n v="491.29"/>
    <s v="496 Main St"/>
    <x v="0"/>
    <x v="4"/>
    <s v="TRK10926575"/>
    <n v="6"/>
    <s v="No Coupon"/>
    <x v="2"/>
    <x v="1065"/>
  </r>
  <r>
    <s v="ORD201071"/>
    <x v="53"/>
    <s v="C94037"/>
    <x v="1"/>
    <n v="2"/>
    <n v="255.14"/>
    <s v="216 Main St"/>
    <x v="4"/>
    <x v="0"/>
    <s v="TRK47536985"/>
    <n v="2"/>
    <s v="No Coupon"/>
    <x v="4"/>
    <x v="1066"/>
  </r>
  <r>
    <s v="ORD201072"/>
    <x v="297"/>
    <s v="C88644"/>
    <x v="0"/>
    <n v="1"/>
    <n v="392.61"/>
    <s v="977 Main St"/>
    <x v="3"/>
    <x v="1"/>
    <s v="TRK14900878"/>
    <n v="4"/>
    <s v="SAVE10"/>
    <x v="1"/>
    <x v="1067"/>
  </r>
  <r>
    <s v="ORD201073"/>
    <x v="642"/>
    <s v="C69471"/>
    <x v="2"/>
    <n v="4"/>
    <n v="362.06"/>
    <s v="294 Main St"/>
    <x v="0"/>
    <x v="2"/>
    <s v="TRK11107152"/>
    <n v="4"/>
    <s v="No Coupon"/>
    <x v="3"/>
    <x v="1068"/>
  </r>
  <r>
    <s v="ORD201074"/>
    <x v="451"/>
    <s v="C21437"/>
    <x v="1"/>
    <n v="1"/>
    <n v="222.73"/>
    <s v="120 Main St"/>
    <x v="1"/>
    <x v="2"/>
    <s v="TRK81624772"/>
    <n v="4"/>
    <s v="No Coupon"/>
    <x v="4"/>
    <x v="1069"/>
  </r>
  <r>
    <s v="ORD201075"/>
    <x v="169"/>
    <s v="C40949"/>
    <x v="0"/>
    <n v="2"/>
    <n v="552.63"/>
    <s v="609 Main St"/>
    <x v="0"/>
    <x v="3"/>
    <s v="TRK43066749"/>
    <n v="7"/>
    <s v="WINTER15"/>
    <x v="0"/>
    <x v="1070"/>
  </r>
  <r>
    <s v="ORD201076"/>
    <x v="20"/>
    <s v="C99116"/>
    <x v="5"/>
    <n v="4"/>
    <n v="686.61"/>
    <s v="176 Main St"/>
    <x v="4"/>
    <x v="0"/>
    <s v="TRK52711973"/>
    <n v="6"/>
    <s v="No Coupon"/>
    <x v="1"/>
    <x v="1071"/>
  </r>
  <r>
    <s v="ORD201077"/>
    <x v="456"/>
    <s v="C57861"/>
    <x v="4"/>
    <n v="3"/>
    <n v="305.16000000000003"/>
    <s v="115 Main St"/>
    <x v="2"/>
    <x v="1"/>
    <s v="TRK47775217"/>
    <n v="8"/>
    <s v="SAVE10"/>
    <x v="1"/>
    <x v="1072"/>
  </r>
  <r>
    <s v="ORD201078"/>
    <x v="168"/>
    <s v="C62627"/>
    <x v="6"/>
    <n v="1"/>
    <n v="41.09"/>
    <s v="881 Main St"/>
    <x v="1"/>
    <x v="2"/>
    <s v="TRK90060232"/>
    <n v="4"/>
    <s v="WINTER15"/>
    <x v="2"/>
    <x v="1073"/>
  </r>
  <r>
    <s v="ORD201079"/>
    <x v="643"/>
    <s v="C89979"/>
    <x v="1"/>
    <n v="5"/>
    <n v="634"/>
    <s v="144 Main St"/>
    <x v="3"/>
    <x v="3"/>
    <s v="TRK99055909"/>
    <n v="8"/>
    <s v="No Coupon"/>
    <x v="2"/>
    <x v="1074"/>
  </r>
  <r>
    <s v="ORD201080"/>
    <x v="325"/>
    <s v="C70613"/>
    <x v="5"/>
    <n v="5"/>
    <n v="464.74"/>
    <s v="438 Main St"/>
    <x v="3"/>
    <x v="3"/>
    <s v="TRK33140293"/>
    <n v="7"/>
    <s v="No Coupon"/>
    <x v="1"/>
    <x v="1075"/>
  </r>
  <r>
    <s v="ORD201081"/>
    <x v="453"/>
    <s v="C55636"/>
    <x v="0"/>
    <n v="4"/>
    <n v="425.6"/>
    <s v="494 Main St"/>
    <x v="2"/>
    <x v="4"/>
    <s v="TRK85897054"/>
    <n v="5"/>
    <s v="FREESHIP"/>
    <x v="4"/>
    <x v="1076"/>
  </r>
  <r>
    <s v="ORD201082"/>
    <x v="426"/>
    <s v="C96595"/>
    <x v="3"/>
    <n v="3"/>
    <n v="573.22"/>
    <s v="177 Main St"/>
    <x v="0"/>
    <x v="4"/>
    <s v="TRK59779174"/>
    <n v="5"/>
    <s v="SAVE10"/>
    <x v="2"/>
    <x v="1077"/>
  </r>
  <r>
    <s v="ORD201083"/>
    <x v="644"/>
    <s v="C68508"/>
    <x v="3"/>
    <n v="1"/>
    <n v="123.28"/>
    <s v="895 Main St"/>
    <x v="2"/>
    <x v="3"/>
    <s v="TRK98960285"/>
    <n v="3"/>
    <s v="SAVE10"/>
    <x v="2"/>
    <x v="1078"/>
  </r>
  <r>
    <s v="ORD201084"/>
    <x v="124"/>
    <s v="C45175"/>
    <x v="1"/>
    <n v="1"/>
    <n v="70.819999999999993"/>
    <s v="128 Main St"/>
    <x v="3"/>
    <x v="4"/>
    <s v="TRK41792296"/>
    <n v="1"/>
    <s v="WINTER15"/>
    <x v="0"/>
    <x v="1079"/>
  </r>
  <r>
    <s v="ORD201085"/>
    <x v="54"/>
    <s v="C28049"/>
    <x v="4"/>
    <n v="2"/>
    <n v="646.69000000000005"/>
    <s v="404 Main St"/>
    <x v="0"/>
    <x v="0"/>
    <s v="TRK91426444"/>
    <n v="7"/>
    <s v="WINTER15"/>
    <x v="0"/>
    <x v="1080"/>
  </r>
  <r>
    <s v="ORD201086"/>
    <x v="475"/>
    <s v="C46967"/>
    <x v="2"/>
    <n v="2"/>
    <n v="513.41999999999996"/>
    <s v="401 Main St"/>
    <x v="1"/>
    <x v="4"/>
    <s v="TRK91439791"/>
    <n v="5"/>
    <s v="WINTER15"/>
    <x v="0"/>
    <x v="1081"/>
  </r>
  <r>
    <s v="ORD201087"/>
    <x v="411"/>
    <s v="C84134"/>
    <x v="5"/>
    <n v="4"/>
    <n v="693.07"/>
    <s v="530 Main St"/>
    <x v="1"/>
    <x v="0"/>
    <s v="TRK48659380"/>
    <n v="8"/>
    <s v="SAVE10"/>
    <x v="0"/>
    <x v="1082"/>
  </r>
  <r>
    <s v="ORD201088"/>
    <x v="115"/>
    <s v="C49831"/>
    <x v="6"/>
    <n v="3"/>
    <n v="491.43"/>
    <s v="213 Main St"/>
    <x v="3"/>
    <x v="0"/>
    <s v="TRK21232601"/>
    <n v="6"/>
    <s v="WINTER15"/>
    <x v="0"/>
    <x v="1083"/>
  </r>
  <r>
    <s v="ORD201089"/>
    <x v="175"/>
    <s v="C13324"/>
    <x v="2"/>
    <n v="2"/>
    <n v="599.74"/>
    <s v="440 Main St"/>
    <x v="3"/>
    <x v="0"/>
    <s v="TRK66967997"/>
    <n v="2"/>
    <s v="No Coupon"/>
    <x v="0"/>
    <x v="1084"/>
  </r>
  <r>
    <s v="ORD201090"/>
    <x v="641"/>
    <s v="C61225"/>
    <x v="0"/>
    <n v="2"/>
    <n v="650.25"/>
    <s v="996 Main St"/>
    <x v="3"/>
    <x v="2"/>
    <s v="TRK37022954"/>
    <n v="6"/>
    <s v="No Coupon"/>
    <x v="0"/>
    <x v="1085"/>
  </r>
  <r>
    <s v="ORD201091"/>
    <x v="192"/>
    <s v="C16400"/>
    <x v="5"/>
    <n v="3"/>
    <n v="209.48"/>
    <s v="123 Main St"/>
    <x v="0"/>
    <x v="4"/>
    <s v="TRK57771859"/>
    <n v="4"/>
    <s v="No Coupon"/>
    <x v="2"/>
    <x v="1086"/>
  </r>
  <r>
    <s v="ORD201092"/>
    <x v="531"/>
    <s v="C38642"/>
    <x v="5"/>
    <n v="5"/>
    <n v="209.2"/>
    <s v="930 Main St"/>
    <x v="0"/>
    <x v="3"/>
    <s v="TRK47744396"/>
    <n v="6"/>
    <s v="WINTER15"/>
    <x v="2"/>
    <x v="1087"/>
  </r>
  <r>
    <s v="ORD201093"/>
    <x v="308"/>
    <s v="C86773"/>
    <x v="1"/>
    <n v="4"/>
    <n v="197.36"/>
    <s v="557 Main St"/>
    <x v="3"/>
    <x v="2"/>
    <s v="TRK22612240"/>
    <n v="9"/>
    <s v="FREESHIP"/>
    <x v="0"/>
    <x v="1088"/>
  </r>
  <r>
    <s v="ORD201094"/>
    <x v="342"/>
    <s v="C66093"/>
    <x v="4"/>
    <n v="4"/>
    <n v="648.91"/>
    <s v="615 Main St"/>
    <x v="2"/>
    <x v="0"/>
    <s v="TRK54950785"/>
    <n v="6"/>
    <s v="SAVE10"/>
    <x v="0"/>
    <x v="1089"/>
  </r>
  <r>
    <s v="ORD201095"/>
    <x v="234"/>
    <s v="C33051"/>
    <x v="1"/>
    <n v="2"/>
    <n v="441.54"/>
    <s v="397 Main St"/>
    <x v="1"/>
    <x v="3"/>
    <s v="TRK92929755"/>
    <n v="2"/>
    <s v="SAVE10"/>
    <x v="2"/>
    <x v="1090"/>
  </r>
  <r>
    <s v="ORD201096"/>
    <x v="120"/>
    <s v="C18169"/>
    <x v="2"/>
    <n v="2"/>
    <n v="464.92"/>
    <s v="782 Main St"/>
    <x v="0"/>
    <x v="2"/>
    <s v="TRK49482923"/>
    <n v="2"/>
    <s v="No Coupon"/>
    <x v="3"/>
    <x v="1091"/>
  </r>
  <r>
    <s v="ORD201097"/>
    <x v="645"/>
    <s v="C81370"/>
    <x v="0"/>
    <n v="5"/>
    <n v="506.45"/>
    <s v="344 Main St"/>
    <x v="3"/>
    <x v="0"/>
    <s v="TRK99682998"/>
    <n v="7"/>
    <s v="WINTER15"/>
    <x v="4"/>
    <x v="1092"/>
  </r>
  <r>
    <s v="ORD201098"/>
    <x v="646"/>
    <s v="C91103"/>
    <x v="0"/>
    <n v="4"/>
    <n v="255.86"/>
    <s v="155 Main St"/>
    <x v="2"/>
    <x v="3"/>
    <s v="TRK91653000"/>
    <n v="7"/>
    <s v="No Coupon"/>
    <x v="2"/>
    <x v="1093"/>
  </r>
  <r>
    <s v="ORD201099"/>
    <x v="556"/>
    <s v="C21953"/>
    <x v="5"/>
    <n v="2"/>
    <n v="125.23"/>
    <s v="272 Main St"/>
    <x v="4"/>
    <x v="1"/>
    <s v="TRK60774796"/>
    <n v="3"/>
    <s v="FREESHIP"/>
    <x v="2"/>
    <x v="1094"/>
  </r>
  <r>
    <s v="ORD201100"/>
    <x v="538"/>
    <s v="C15146"/>
    <x v="5"/>
    <n v="5"/>
    <n v="38.11"/>
    <s v="428 Main St"/>
    <x v="0"/>
    <x v="1"/>
    <s v="TRK79790530"/>
    <n v="6"/>
    <s v="WINTER15"/>
    <x v="0"/>
    <x v="1095"/>
  </r>
  <r>
    <s v="ORD201101"/>
    <x v="647"/>
    <s v="C43546"/>
    <x v="0"/>
    <n v="3"/>
    <n v="161.97"/>
    <s v="904 Main St"/>
    <x v="4"/>
    <x v="4"/>
    <s v="TRK85871121"/>
    <n v="4"/>
    <s v="SAVE10"/>
    <x v="2"/>
    <x v="1096"/>
  </r>
  <r>
    <s v="ORD201102"/>
    <x v="561"/>
    <s v="C98474"/>
    <x v="3"/>
    <n v="4"/>
    <n v="347.17"/>
    <s v="997 Main St"/>
    <x v="0"/>
    <x v="0"/>
    <s v="TRK86192984"/>
    <n v="8"/>
    <s v="No Coupon"/>
    <x v="0"/>
    <x v="1097"/>
  </r>
  <r>
    <s v="ORD201103"/>
    <x v="648"/>
    <s v="C90292"/>
    <x v="5"/>
    <n v="4"/>
    <n v="276.32"/>
    <s v="129 Main St"/>
    <x v="1"/>
    <x v="3"/>
    <s v="TRK26270357"/>
    <n v="5"/>
    <s v="No Coupon"/>
    <x v="4"/>
    <x v="1098"/>
  </r>
  <r>
    <s v="ORD201104"/>
    <x v="568"/>
    <s v="C17075"/>
    <x v="2"/>
    <n v="4"/>
    <n v="314.76"/>
    <s v="850 Main St"/>
    <x v="1"/>
    <x v="0"/>
    <s v="TRK63547510"/>
    <n v="8"/>
    <s v="No Coupon"/>
    <x v="0"/>
    <x v="1099"/>
  </r>
  <r>
    <s v="ORD201105"/>
    <x v="649"/>
    <s v="C12487"/>
    <x v="2"/>
    <n v="3"/>
    <n v="475.69"/>
    <s v="884 Main St"/>
    <x v="3"/>
    <x v="1"/>
    <s v="TRK23324770"/>
    <n v="3"/>
    <s v="FREESHIP"/>
    <x v="4"/>
    <x v="1100"/>
  </r>
  <r>
    <s v="ORD201106"/>
    <x v="255"/>
    <s v="C34555"/>
    <x v="3"/>
    <n v="1"/>
    <n v="372.8"/>
    <s v="903 Main St"/>
    <x v="4"/>
    <x v="1"/>
    <s v="TRK72859458"/>
    <n v="6"/>
    <s v="SAVE10"/>
    <x v="3"/>
    <x v="1101"/>
  </r>
  <r>
    <s v="ORD201107"/>
    <x v="233"/>
    <s v="C25110"/>
    <x v="2"/>
    <n v="2"/>
    <n v="63.21"/>
    <s v="282 Main St"/>
    <x v="1"/>
    <x v="1"/>
    <s v="TRK80963328"/>
    <n v="4"/>
    <s v="SAVE10"/>
    <x v="4"/>
    <x v="1102"/>
  </r>
  <r>
    <s v="ORD201108"/>
    <x v="650"/>
    <s v="C35136"/>
    <x v="5"/>
    <n v="1"/>
    <n v="634.94000000000005"/>
    <s v="462 Main St"/>
    <x v="1"/>
    <x v="1"/>
    <s v="TRK49753703"/>
    <n v="5"/>
    <s v="WINTER15"/>
    <x v="0"/>
    <x v="1103"/>
  </r>
  <r>
    <s v="ORD201109"/>
    <x v="651"/>
    <s v="C62277"/>
    <x v="4"/>
    <n v="4"/>
    <n v="77.47"/>
    <s v="474 Main St"/>
    <x v="3"/>
    <x v="2"/>
    <s v="TRK32026174"/>
    <n v="7"/>
    <s v="SAVE10"/>
    <x v="0"/>
    <x v="1104"/>
  </r>
  <r>
    <s v="ORD201110"/>
    <x v="402"/>
    <s v="C12472"/>
    <x v="3"/>
    <n v="3"/>
    <n v="84.31"/>
    <s v="912 Main St"/>
    <x v="2"/>
    <x v="0"/>
    <s v="TRK36103184"/>
    <n v="3"/>
    <s v="SAVE10"/>
    <x v="2"/>
    <x v="1105"/>
  </r>
  <r>
    <s v="ORD201111"/>
    <x v="306"/>
    <s v="C24047"/>
    <x v="0"/>
    <n v="4"/>
    <n v="234.45"/>
    <s v="362 Main St"/>
    <x v="1"/>
    <x v="1"/>
    <s v="TRK91338580"/>
    <n v="9"/>
    <s v="FREESHIP"/>
    <x v="0"/>
    <x v="1106"/>
  </r>
  <r>
    <s v="ORD201112"/>
    <x v="652"/>
    <s v="C76929"/>
    <x v="6"/>
    <n v="1"/>
    <n v="356.81"/>
    <s v="563 Main St"/>
    <x v="1"/>
    <x v="3"/>
    <s v="TRK80694400"/>
    <n v="1"/>
    <s v="WINTER15"/>
    <x v="0"/>
    <x v="1107"/>
  </r>
  <r>
    <s v="ORD201113"/>
    <x v="111"/>
    <s v="C52914"/>
    <x v="6"/>
    <n v="4"/>
    <n v="209.99"/>
    <s v="168 Main St"/>
    <x v="4"/>
    <x v="3"/>
    <s v="TRK80819053"/>
    <n v="8"/>
    <s v="No Coupon"/>
    <x v="4"/>
    <x v="1108"/>
  </r>
  <r>
    <s v="ORD201114"/>
    <x v="653"/>
    <s v="C55164"/>
    <x v="2"/>
    <n v="3"/>
    <n v="659.88"/>
    <s v="609 Main St"/>
    <x v="3"/>
    <x v="1"/>
    <s v="TRK79610967"/>
    <n v="3"/>
    <s v="No Coupon"/>
    <x v="4"/>
    <x v="1109"/>
  </r>
  <r>
    <s v="ORD201115"/>
    <x v="126"/>
    <s v="C70426"/>
    <x v="5"/>
    <n v="2"/>
    <n v="336.32"/>
    <s v="562 Main St"/>
    <x v="1"/>
    <x v="2"/>
    <s v="TRK89687816"/>
    <n v="3"/>
    <s v="No Coupon"/>
    <x v="4"/>
    <x v="1110"/>
  </r>
  <r>
    <s v="ORD201116"/>
    <x v="612"/>
    <s v="C69149"/>
    <x v="4"/>
    <n v="2"/>
    <n v="531.49"/>
    <s v="562 Main St"/>
    <x v="2"/>
    <x v="3"/>
    <s v="TRK61265132"/>
    <n v="7"/>
    <s v="WINTER15"/>
    <x v="3"/>
    <x v="1111"/>
  </r>
  <r>
    <s v="ORD201117"/>
    <x v="199"/>
    <s v="C78684"/>
    <x v="3"/>
    <n v="3"/>
    <n v="588.44000000000005"/>
    <s v="858 Main St"/>
    <x v="3"/>
    <x v="0"/>
    <s v="TRK95779073"/>
    <n v="8"/>
    <s v="WINTER15"/>
    <x v="4"/>
    <x v="1112"/>
  </r>
  <r>
    <s v="ORD201118"/>
    <x v="75"/>
    <s v="C58168"/>
    <x v="1"/>
    <n v="3"/>
    <n v="251.48"/>
    <s v="359 Main St"/>
    <x v="2"/>
    <x v="2"/>
    <s v="TRK99102265"/>
    <n v="4"/>
    <s v="No Coupon"/>
    <x v="2"/>
    <x v="1113"/>
  </r>
  <r>
    <s v="ORD201119"/>
    <x v="167"/>
    <s v="C99024"/>
    <x v="5"/>
    <n v="1"/>
    <n v="684.65"/>
    <s v="250 Main St"/>
    <x v="2"/>
    <x v="3"/>
    <s v="TRK24675988"/>
    <n v="1"/>
    <s v="FREESHIP"/>
    <x v="2"/>
    <x v="1114"/>
  </r>
  <r>
    <s v="ORD201120"/>
    <x v="400"/>
    <s v="C22919"/>
    <x v="2"/>
    <n v="1"/>
    <n v="195.86"/>
    <s v="267 Main St"/>
    <x v="1"/>
    <x v="4"/>
    <s v="TRK82416295"/>
    <n v="3"/>
    <s v="No Coupon"/>
    <x v="3"/>
    <x v="1115"/>
  </r>
  <r>
    <s v="ORD201121"/>
    <x v="654"/>
    <s v="C98354"/>
    <x v="1"/>
    <n v="3"/>
    <n v="50.34"/>
    <s v="393 Main St"/>
    <x v="3"/>
    <x v="2"/>
    <s v="TRK43070888"/>
    <n v="3"/>
    <s v="FREESHIP"/>
    <x v="0"/>
    <x v="1116"/>
  </r>
  <r>
    <s v="ORD201122"/>
    <x v="323"/>
    <s v="C38840"/>
    <x v="0"/>
    <n v="5"/>
    <n v="678.19"/>
    <s v="766 Main St"/>
    <x v="1"/>
    <x v="2"/>
    <s v="TRK32496970"/>
    <n v="8"/>
    <s v="No Coupon"/>
    <x v="3"/>
    <x v="1117"/>
  </r>
  <r>
    <s v="ORD201123"/>
    <x v="655"/>
    <s v="C68936"/>
    <x v="2"/>
    <n v="3"/>
    <n v="554.25"/>
    <s v="843 Main St"/>
    <x v="0"/>
    <x v="0"/>
    <s v="TRK73163634"/>
    <n v="6"/>
    <s v="WINTER15"/>
    <x v="1"/>
    <x v="1118"/>
  </r>
  <r>
    <s v="ORD201124"/>
    <x v="221"/>
    <s v="C33744"/>
    <x v="3"/>
    <n v="4"/>
    <n v="576.87"/>
    <s v="888 Main St"/>
    <x v="3"/>
    <x v="2"/>
    <s v="TRK40245983"/>
    <n v="5"/>
    <s v="No Coupon"/>
    <x v="0"/>
    <x v="1119"/>
  </r>
  <r>
    <s v="ORD201125"/>
    <x v="504"/>
    <s v="C23555"/>
    <x v="6"/>
    <n v="4"/>
    <n v="408.36"/>
    <s v="156 Main St"/>
    <x v="3"/>
    <x v="1"/>
    <s v="TRK67210247"/>
    <n v="4"/>
    <s v="FREESHIP"/>
    <x v="1"/>
    <x v="1120"/>
  </r>
  <r>
    <s v="ORD201126"/>
    <x v="319"/>
    <s v="C34337"/>
    <x v="1"/>
    <n v="5"/>
    <n v="190.11"/>
    <s v="325 Main St"/>
    <x v="4"/>
    <x v="3"/>
    <s v="TRK36195559"/>
    <n v="7"/>
    <s v="SAVE10"/>
    <x v="4"/>
    <x v="1121"/>
  </r>
  <r>
    <s v="ORD201127"/>
    <x v="175"/>
    <s v="C69396"/>
    <x v="4"/>
    <n v="3"/>
    <n v="602.75"/>
    <s v="920 Main St"/>
    <x v="2"/>
    <x v="0"/>
    <s v="TRK33155049"/>
    <n v="6"/>
    <s v="SAVE10"/>
    <x v="2"/>
    <x v="1122"/>
  </r>
  <r>
    <s v="ORD201128"/>
    <x v="538"/>
    <s v="C49198"/>
    <x v="0"/>
    <n v="3"/>
    <n v="646.79"/>
    <s v="447 Main St"/>
    <x v="4"/>
    <x v="1"/>
    <s v="TRK10883354"/>
    <n v="5"/>
    <s v="WINTER15"/>
    <x v="4"/>
    <x v="1123"/>
  </r>
  <r>
    <s v="ORD201129"/>
    <x v="236"/>
    <s v="C43911"/>
    <x v="3"/>
    <n v="4"/>
    <n v="418.71"/>
    <s v="239 Main St"/>
    <x v="4"/>
    <x v="4"/>
    <s v="TRK37495481"/>
    <n v="8"/>
    <s v="FREESHIP"/>
    <x v="0"/>
    <x v="1124"/>
  </r>
  <r>
    <s v="ORD201130"/>
    <x v="656"/>
    <s v="C24347"/>
    <x v="5"/>
    <n v="2"/>
    <n v="323.45"/>
    <s v="533 Main St"/>
    <x v="2"/>
    <x v="2"/>
    <s v="TRK27233265"/>
    <n v="5"/>
    <s v="FREESHIP"/>
    <x v="0"/>
    <x v="1125"/>
  </r>
  <r>
    <s v="ORD201131"/>
    <x v="408"/>
    <s v="C21043"/>
    <x v="1"/>
    <n v="1"/>
    <n v="694.5"/>
    <s v="195 Main St"/>
    <x v="2"/>
    <x v="4"/>
    <s v="TRK41691086"/>
    <n v="3"/>
    <s v="WINTER15"/>
    <x v="3"/>
    <x v="1126"/>
  </r>
  <r>
    <s v="ORD201132"/>
    <x v="657"/>
    <s v="C58858"/>
    <x v="3"/>
    <n v="2"/>
    <n v="337.32"/>
    <s v="948 Main St"/>
    <x v="2"/>
    <x v="1"/>
    <s v="TRK30406357"/>
    <n v="4"/>
    <s v="SAVE10"/>
    <x v="2"/>
    <x v="1127"/>
  </r>
  <r>
    <s v="ORD201133"/>
    <x v="398"/>
    <s v="C20670"/>
    <x v="4"/>
    <n v="2"/>
    <n v="467.91"/>
    <s v="432 Main St"/>
    <x v="3"/>
    <x v="2"/>
    <s v="TRK76731303"/>
    <n v="5"/>
    <s v="WINTER15"/>
    <x v="3"/>
    <x v="1128"/>
  </r>
  <r>
    <s v="ORD201134"/>
    <x v="180"/>
    <s v="C90993"/>
    <x v="6"/>
    <n v="4"/>
    <n v="38.28"/>
    <s v="950 Main St"/>
    <x v="0"/>
    <x v="1"/>
    <s v="TRK53964711"/>
    <n v="4"/>
    <s v="WINTER15"/>
    <x v="3"/>
    <x v="1129"/>
  </r>
  <r>
    <s v="ORD201135"/>
    <x v="153"/>
    <s v="C11473"/>
    <x v="4"/>
    <n v="2"/>
    <n v="73.41"/>
    <s v="562 Main St"/>
    <x v="1"/>
    <x v="0"/>
    <s v="TRK97793275"/>
    <n v="2"/>
    <s v="SAVE10"/>
    <x v="4"/>
    <x v="1130"/>
  </r>
  <r>
    <s v="ORD201136"/>
    <x v="463"/>
    <s v="C71899"/>
    <x v="2"/>
    <n v="3"/>
    <n v="668.33"/>
    <s v="799 Main St"/>
    <x v="3"/>
    <x v="4"/>
    <s v="TRK34856025"/>
    <n v="4"/>
    <s v="WINTER15"/>
    <x v="3"/>
    <x v="1131"/>
  </r>
  <r>
    <s v="ORD201137"/>
    <x v="511"/>
    <s v="C48577"/>
    <x v="4"/>
    <n v="4"/>
    <n v="410.21"/>
    <s v="841 Main St"/>
    <x v="4"/>
    <x v="4"/>
    <s v="TRK59911645"/>
    <n v="5"/>
    <s v="WINTER15"/>
    <x v="0"/>
    <x v="1132"/>
  </r>
  <r>
    <s v="ORD201138"/>
    <x v="552"/>
    <s v="C13100"/>
    <x v="6"/>
    <n v="4"/>
    <n v="294.41000000000003"/>
    <s v="188 Main St"/>
    <x v="0"/>
    <x v="4"/>
    <s v="TRK55565668"/>
    <n v="4"/>
    <s v="No Coupon"/>
    <x v="0"/>
    <x v="1133"/>
  </r>
  <r>
    <s v="ORD201139"/>
    <x v="627"/>
    <s v="C70659"/>
    <x v="3"/>
    <n v="3"/>
    <n v="501.82"/>
    <s v="568 Main St"/>
    <x v="3"/>
    <x v="1"/>
    <s v="TRK28290825"/>
    <n v="4"/>
    <s v="FREESHIP"/>
    <x v="2"/>
    <x v="1134"/>
  </r>
  <r>
    <s v="ORD201140"/>
    <x v="658"/>
    <s v="C49838"/>
    <x v="4"/>
    <n v="2"/>
    <n v="552.83000000000004"/>
    <s v="904 Main St"/>
    <x v="2"/>
    <x v="1"/>
    <s v="TRK38297718"/>
    <n v="3"/>
    <s v="No Coupon"/>
    <x v="1"/>
    <x v="1135"/>
  </r>
  <r>
    <s v="ORD201141"/>
    <x v="656"/>
    <s v="C11998"/>
    <x v="3"/>
    <n v="3"/>
    <n v="498.66"/>
    <s v="382 Main St"/>
    <x v="4"/>
    <x v="1"/>
    <s v="TRK26707221"/>
    <n v="6"/>
    <s v="No Coupon"/>
    <x v="2"/>
    <x v="1136"/>
  </r>
  <r>
    <s v="ORD201142"/>
    <x v="1"/>
    <s v="C23405"/>
    <x v="1"/>
    <n v="4"/>
    <n v="695.1"/>
    <s v="484 Main St"/>
    <x v="0"/>
    <x v="2"/>
    <s v="TRK83678708"/>
    <n v="8"/>
    <s v="No Coupon"/>
    <x v="2"/>
    <x v="1137"/>
  </r>
  <r>
    <s v="ORD201143"/>
    <x v="659"/>
    <s v="C41132"/>
    <x v="3"/>
    <n v="1"/>
    <n v="381.61"/>
    <s v="114 Main St"/>
    <x v="0"/>
    <x v="4"/>
    <s v="TRK51040137"/>
    <n v="5"/>
    <s v="No Coupon"/>
    <x v="2"/>
    <x v="1138"/>
  </r>
  <r>
    <s v="ORD201144"/>
    <x v="223"/>
    <s v="C88463"/>
    <x v="6"/>
    <n v="5"/>
    <n v="507.94"/>
    <s v="292 Main St"/>
    <x v="1"/>
    <x v="1"/>
    <s v="TRK88749996"/>
    <n v="9"/>
    <s v="No Coupon"/>
    <x v="3"/>
    <x v="1139"/>
  </r>
  <r>
    <s v="ORD201145"/>
    <x v="275"/>
    <s v="C28152"/>
    <x v="6"/>
    <n v="3"/>
    <n v="571.53"/>
    <s v="821 Main St"/>
    <x v="0"/>
    <x v="3"/>
    <s v="TRK59642814"/>
    <n v="6"/>
    <s v="FREESHIP"/>
    <x v="3"/>
    <x v="1140"/>
  </r>
  <r>
    <s v="ORD201146"/>
    <x v="525"/>
    <s v="C36383"/>
    <x v="0"/>
    <n v="5"/>
    <n v="421.44"/>
    <s v="286 Main St"/>
    <x v="4"/>
    <x v="4"/>
    <s v="TRK93336357"/>
    <n v="5"/>
    <s v="SAVE10"/>
    <x v="0"/>
    <x v="1141"/>
  </r>
  <r>
    <s v="ORD201147"/>
    <x v="143"/>
    <s v="C19759"/>
    <x v="3"/>
    <n v="2"/>
    <n v="588.29999999999995"/>
    <s v="234 Main St"/>
    <x v="1"/>
    <x v="4"/>
    <s v="TRK22515454"/>
    <n v="2"/>
    <s v="FREESHIP"/>
    <x v="2"/>
    <x v="1142"/>
  </r>
  <r>
    <s v="ORD201148"/>
    <x v="611"/>
    <s v="C54886"/>
    <x v="1"/>
    <n v="1"/>
    <n v="355.15"/>
    <s v="442 Main St"/>
    <x v="4"/>
    <x v="2"/>
    <s v="TRK66241930"/>
    <n v="2"/>
    <s v="SAVE10"/>
    <x v="2"/>
    <x v="1143"/>
  </r>
  <r>
    <s v="ORD201149"/>
    <x v="568"/>
    <s v="C27305"/>
    <x v="3"/>
    <n v="2"/>
    <n v="695.29"/>
    <s v="957 Main St"/>
    <x v="2"/>
    <x v="4"/>
    <s v="TRK28789916"/>
    <n v="6"/>
    <s v="FREESHIP"/>
    <x v="0"/>
    <x v="1144"/>
  </r>
  <r>
    <s v="ORD201150"/>
    <x v="215"/>
    <s v="C17921"/>
    <x v="6"/>
    <n v="4"/>
    <n v="302.64999999999998"/>
    <s v="119 Main St"/>
    <x v="2"/>
    <x v="1"/>
    <s v="TRK79291524"/>
    <n v="8"/>
    <s v="SAVE10"/>
    <x v="1"/>
    <x v="1145"/>
  </r>
  <r>
    <s v="ORD201151"/>
    <x v="22"/>
    <s v="C94381"/>
    <x v="3"/>
    <n v="2"/>
    <n v="608.04"/>
    <s v="962 Main St"/>
    <x v="4"/>
    <x v="1"/>
    <s v="TRK69804304"/>
    <n v="4"/>
    <s v="No Coupon"/>
    <x v="4"/>
    <x v="1146"/>
  </r>
  <r>
    <s v="ORD201152"/>
    <x v="576"/>
    <s v="C25162"/>
    <x v="2"/>
    <n v="2"/>
    <n v="344.18"/>
    <s v="533 Main St"/>
    <x v="2"/>
    <x v="0"/>
    <s v="TRK42183078"/>
    <n v="7"/>
    <s v="No Coupon"/>
    <x v="1"/>
    <x v="1147"/>
  </r>
  <r>
    <s v="ORD201153"/>
    <x v="393"/>
    <s v="C98317"/>
    <x v="0"/>
    <n v="4"/>
    <n v="696.71"/>
    <s v="276 Main St"/>
    <x v="0"/>
    <x v="0"/>
    <s v="TRK37172138"/>
    <n v="4"/>
    <s v="No Coupon"/>
    <x v="0"/>
    <x v="1148"/>
  </r>
  <r>
    <s v="ORD201154"/>
    <x v="113"/>
    <s v="C53631"/>
    <x v="0"/>
    <n v="3"/>
    <n v="198.63"/>
    <s v="593 Main St"/>
    <x v="4"/>
    <x v="4"/>
    <s v="TRK67589167"/>
    <n v="8"/>
    <s v="SAVE10"/>
    <x v="0"/>
    <x v="1149"/>
  </r>
  <r>
    <s v="ORD201155"/>
    <x v="340"/>
    <s v="C41478"/>
    <x v="4"/>
    <n v="4"/>
    <n v="534.57000000000005"/>
    <s v="667 Main St"/>
    <x v="2"/>
    <x v="3"/>
    <s v="TRK62068126"/>
    <n v="6"/>
    <s v="FREESHIP"/>
    <x v="3"/>
    <x v="1150"/>
  </r>
  <r>
    <s v="ORD201156"/>
    <x v="45"/>
    <s v="C20512"/>
    <x v="5"/>
    <n v="4"/>
    <n v="690.78"/>
    <s v="980 Main St"/>
    <x v="2"/>
    <x v="0"/>
    <s v="TRK98234737"/>
    <n v="9"/>
    <s v="No Coupon"/>
    <x v="1"/>
    <x v="1151"/>
  </r>
  <r>
    <s v="ORD201157"/>
    <x v="382"/>
    <s v="C25841"/>
    <x v="0"/>
    <n v="3"/>
    <n v="301.55"/>
    <s v="242 Main St"/>
    <x v="0"/>
    <x v="3"/>
    <s v="TRK21451375"/>
    <n v="5"/>
    <s v="FREESHIP"/>
    <x v="4"/>
    <x v="1152"/>
  </r>
  <r>
    <s v="ORD201158"/>
    <x v="197"/>
    <s v="C82781"/>
    <x v="0"/>
    <n v="4"/>
    <n v="27.42"/>
    <s v="661 Main St"/>
    <x v="0"/>
    <x v="4"/>
    <s v="TRK20605418"/>
    <n v="4"/>
    <s v="SAVE10"/>
    <x v="1"/>
    <x v="1153"/>
  </r>
  <r>
    <s v="ORD201159"/>
    <x v="203"/>
    <s v="C66112"/>
    <x v="6"/>
    <n v="4"/>
    <n v="466.7"/>
    <s v="874 Main St"/>
    <x v="0"/>
    <x v="2"/>
    <s v="TRK60955607"/>
    <n v="8"/>
    <s v="No Coupon"/>
    <x v="0"/>
    <x v="1154"/>
  </r>
  <r>
    <s v="ORD201160"/>
    <x v="333"/>
    <s v="C40466"/>
    <x v="6"/>
    <n v="1"/>
    <n v="541.64"/>
    <s v="449 Main St"/>
    <x v="0"/>
    <x v="0"/>
    <s v="TRK70255168"/>
    <n v="5"/>
    <s v="SAVE10"/>
    <x v="2"/>
    <x v="1155"/>
  </r>
  <r>
    <s v="ORD201161"/>
    <x v="504"/>
    <s v="C32570"/>
    <x v="1"/>
    <n v="1"/>
    <n v="11.39"/>
    <s v="826 Main St"/>
    <x v="4"/>
    <x v="1"/>
    <s v="TRK35969968"/>
    <n v="6"/>
    <s v="WINTER15"/>
    <x v="2"/>
    <x v="1156"/>
  </r>
  <r>
    <s v="ORD201162"/>
    <x v="660"/>
    <s v="C29405"/>
    <x v="1"/>
    <n v="2"/>
    <n v="224.37"/>
    <s v="251 Main St"/>
    <x v="0"/>
    <x v="3"/>
    <s v="TRK33125798"/>
    <n v="3"/>
    <s v="WINTER15"/>
    <x v="1"/>
    <x v="1157"/>
  </r>
  <r>
    <s v="ORD201163"/>
    <x v="184"/>
    <s v="C30643"/>
    <x v="5"/>
    <n v="3"/>
    <n v="306.29000000000002"/>
    <s v="966 Main St"/>
    <x v="2"/>
    <x v="2"/>
    <s v="TRK19477485"/>
    <n v="7"/>
    <s v="WINTER15"/>
    <x v="0"/>
    <x v="1158"/>
  </r>
  <r>
    <s v="ORD201164"/>
    <x v="649"/>
    <s v="C65890"/>
    <x v="2"/>
    <n v="5"/>
    <n v="315.57"/>
    <s v="340 Main St"/>
    <x v="0"/>
    <x v="3"/>
    <s v="TRK64530489"/>
    <n v="6"/>
    <s v="WINTER15"/>
    <x v="2"/>
    <x v="1159"/>
  </r>
  <r>
    <s v="ORD201165"/>
    <x v="328"/>
    <s v="C36992"/>
    <x v="3"/>
    <n v="3"/>
    <n v="223.79"/>
    <s v="617 Main St"/>
    <x v="0"/>
    <x v="4"/>
    <s v="TRK63460217"/>
    <n v="3"/>
    <s v="No Coupon"/>
    <x v="4"/>
    <x v="1160"/>
  </r>
  <r>
    <s v="ORD201166"/>
    <x v="48"/>
    <s v="C95568"/>
    <x v="3"/>
    <n v="3"/>
    <n v="324.47000000000003"/>
    <s v="971 Main St"/>
    <x v="4"/>
    <x v="3"/>
    <s v="TRK37075292"/>
    <n v="4"/>
    <s v="WINTER15"/>
    <x v="2"/>
    <x v="1161"/>
  </r>
  <r>
    <s v="ORD201167"/>
    <x v="661"/>
    <s v="C17966"/>
    <x v="4"/>
    <n v="2"/>
    <n v="92.87"/>
    <s v="360 Main St"/>
    <x v="2"/>
    <x v="4"/>
    <s v="TRK31169396"/>
    <n v="5"/>
    <s v="FREESHIP"/>
    <x v="3"/>
    <x v="1162"/>
  </r>
  <r>
    <s v="ORD201168"/>
    <x v="505"/>
    <s v="C89559"/>
    <x v="5"/>
    <n v="2"/>
    <n v="331.42"/>
    <s v="297 Main St"/>
    <x v="2"/>
    <x v="3"/>
    <s v="TRK82838108"/>
    <n v="6"/>
    <s v="WINTER15"/>
    <x v="4"/>
    <x v="1163"/>
  </r>
  <r>
    <s v="ORD201169"/>
    <x v="662"/>
    <s v="C15849"/>
    <x v="3"/>
    <n v="1"/>
    <n v="525.42999999999995"/>
    <s v="643 Main St"/>
    <x v="4"/>
    <x v="1"/>
    <s v="TRK26794546"/>
    <n v="2"/>
    <s v="SAVE10"/>
    <x v="0"/>
    <x v="1164"/>
  </r>
  <r>
    <s v="ORD201170"/>
    <x v="567"/>
    <s v="C94257"/>
    <x v="4"/>
    <n v="2"/>
    <n v="697.19"/>
    <s v="762 Main St"/>
    <x v="4"/>
    <x v="2"/>
    <s v="TRK40220743"/>
    <n v="7"/>
    <s v="FREESHIP"/>
    <x v="2"/>
    <x v="1165"/>
  </r>
  <r>
    <s v="ORD201171"/>
    <x v="81"/>
    <s v="C39911"/>
    <x v="1"/>
    <n v="4"/>
    <n v="518.4"/>
    <s v="699 Main St"/>
    <x v="2"/>
    <x v="3"/>
    <s v="TRK80431998"/>
    <n v="7"/>
    <s v="SAVE10"/>
    <x v="3"/>
    <x v="1166"/>
  </r>
  <r>
    <s v="ORD201172"/>
    <x v="496"/>
    <s v="C28828"/>
    <x v="6"/>
    <n v="3"/>
    <n v="131.96"/>
    <s v="745 Main St"/>
    <x v="2"/>
    <x v="4"/>
    <s v="TRK32550359"/>
    <n v="8"/>
    <s v="No Coupon"/>
    <x v="0"/>
    <x v="1167"/>
  </r>
  <r>
    <s v="ORD201173"/>
    <x v="449"/>
    <s v="C82921"/>
    <x v="0"/>
    <n v="1"/>
    <n v="208.36"/>
    <s v="703 Main St"/>
    <x v="1"/>
    <x v="0"/>
    <s v="TRK31079911"/>
    <n v="4"/>
    <s v="FREESHIP"/>
    <x v="2"/>
    <x v="1168"/>
  </r>
  <r>
    <s v="ORD201174"/>
    <x v="110"/>
    <s v="C50159"/>
    <x v="4"/>
    <n v="3"/>
    <n v="222.34"/>
    <s v="105 Main St"/>
    <x v="2"/>
    <x v="2"/>
    <s v="TRK53737452"/>
    <n v="5"/>
    <s v="WINTER15"/>
    <x v="2"/>
    <x v="1169"/>
  </r>
  <r>
    <s v="ORD201175"/>
    <x v="663"/>
    <s v="C62512"/>
    <x v="4"/>
    <n v="3"/>
    <n v="91.74"/>
    <s v="368 Main St"/>
    <x v="0"/>
    <x v="2"/>
    <s v="TRK24139954"/>
    <n v="8"/>
    <s v="FREESHIP"/>
    <x v="1"/>
    <x v="1170"/>
  </r>
  <r>
    <s v="ORD201176"/>
    <x v="340"/>
    <s v="C39260"/>
    <x v="2"/>
    <n v="2"/>
    <n v="213.83"/>
    <s v="374 Main St"/>
    <x v="0"/>
    <x v="1"/>
    <s v="TRK55587314"/>
    <n v="2"/>
    <s v="WINTER15"/>
    <x v="2"/>
    <x v="1171"/>
  </r>
  <r>
    <s v="ORD201177"/>
    <x v="664"/>
    <s v="C23917"/>
    <x v="4"/>
    <n v="1"/>
    <n v="127.55"/>
    <s v="433 Main St"/>
    <x v="4"/>
    <x v="0"/>
    <s v="TRK44434536"/>
    <n v="3"/>
    <s v="SAVE10"/>
    <x v="1"/>
    <x v="1172"/>
  </r>
  <r>
    <s v="ORD201178"/>
    <x v="50"/>
    <s v="C65107"/>
    <x v="0"/>
    <n v="1"/>
    <n v="70.239999999999995"/>
    <s v="456 Main St"/>
    <x v="2"/>
    <x v="1"/>
    <s v="TRK10261578"/>
    <n v="4"/>
    <s v="FREESHIP"/>
    <x v="4"/>
    <x v="1173"/>
  </r>
  <r>
    <s v="ORD201179"/>
    <x v="124"/>
    <s v="C84630"/>
    <x v="5"/>
    <n v="5"/>
    <n v="518.54999999999995"/>
    <s v="907 Main St"/>
    <x v="2"/>
    <x v="1"/>
    <s v="TRK48054997"/>
    <n v="6"/>
    <s v="WINTER15"/>
    <x v="0"/>
    <x v="1174"/>
  </r>
  <r>
    <s v="ORD201180"/>
    <x v="150"/>
    <s v="C42235"/>
    <x v="3"/>
    <n v="4"/>
    <n v="298.36"/>
    <s v="722 Main St"/>
    <x v="0"/>
    <x v="4"/>
    <s v="TRK49379882"/>
    <n v="8"/>
    <s v="FREESHIP"/>
    <x v="4"/>
    <x v="1175"/>
  </r>
  <r>
    <s v="ORD201181"/>
    <x v="152"/>
    <s v="C70246"/>
    <x v="6"/>
    <n v="3"/>
    <n v="158.74"/>
    <s v="293 Main St"/>
    <x v="1"/>
    <x v="4"/>
    <s v="TRK45708320"/>
    <n v="7"/>
    <s v="FREESHIP"/>
    <x v="0"/>
    <x v="1176"/>
  </r>
  <r>
    <s v="ORD201182"/>
    <x v="554"/>
    <s v="C18473"/>
    <x v="3"/>
    <n v="2"/>
    <n v="420.29"/>
    <s v="700 Main St"/>
    <x v="3"/>
    <x v="2"/>
    <s v="TRK97834202"/>
    <n v="3"/>
    <s v="SAVE10"/>
    <x v="4"/>
    <x v="1177"/>
  </r>
  <r>
    <s v="ORD201183"/>
    <x v="228"/>
    <s v="C12607"/>
    <x v="6"/>
    <n v="1"/>
    <n v="281.52"/>
    <s v="460 Main St"/>
    <x v="3"/>
    <x v="0"/>
    <s v="TRK83653396"/>
    <n v="6"/>
    <s v="WINTER15"/>
    <x v="1"/>
    <x v="1178"/>
  </r>
  <r>
    <s v="ORD201184"/>
    <x v="610"/>
    <s v="C10222"/>
    <x v="5"/>
    <n v="1"/>
    <n v="204.08"/>
    <s v="979 Main St"/>
    <x v="3"/>
    <x v="2"/>
    <s v="TRK86297895"/>
    <n v="4"/>
    <s v="No Coupon"/>
    <x v="4"/>
    <x v="1179"/>
  </r>
  <r>
    <s v="ORD201185"/>
    <x v="665"/>
    <s v="C77344"/>
    <x v="3"/>
    <n v="1"/>
    <n v="343.31"/>
    <s v="777 Main St"/>
    <x v="3"/>
    <x v="2"/>
    <s v="TRK20605055"/>
    <n v="6"/>
    <s v="SAVE10"/>
    <x v="4"/>
    <x v="1180"/>
  </r>
  <r>
    <s v="ORD201186"/>
    <x v="134"/>
    <s v="C65497"/>
    <x v="0"/>
    <n v="1"/>
    <n v="163.32"/>
    <s v="676 Main St"/>
    <x v="4"/>
    <x v="0"/>
    <s v="TRK83702761"/>
    <n v="6"/>
    <s v="WINTER15"/>
    <x v="3"/>
    <x v="1181"/>
  </r>
  <r>
    <s v="ORD201187"/>
    <x v="206"/>
    <s v="C26340"/>
    <x v="6"/>
    <n v="2"/>
    <n v="184.6"/>
    <s v="562 Main St"/>
    <x v="3"/>
    <x v="3"/>
    <s v="TRK59962703"/>
    <n v="7"/>
    <s v="WINTER15"/>
    <x v="2"/>
    <x v="1182"/>
  </r>
  <r>
    <s v="ORD201188"/>
    <x v="47"/>
    <s v="C75619"/>
    <x v="4"/>
    <n v="2"/>
    <n v="371.29"/>
    <s v="924 Main St"/>
    <x v="3"/>
    <x v="0"/>
    <s v="TRK23086941"/>
    <n v="5"/>
    <s v="WINTER15"/>
    <x v="3"/>
    <x v="1183"/>
  </r>
  <r>
    <s v="ORD201189"/>
    <x v="666"/>
    <s v="C96136"/>
    <x v="2"/>
    <n v="5"/>
    <n v="389.22"/>
    <s v="149 Main St"/>
    <x v="4"/>
    <x v="1"/>
    <s v="TRK60856682"/>
    <n v="7"/>
    <s v="No Coupon"/>
    <x v="1"/>
    <x v="1184"/>
  </r>
  <r>
    <s v="ORD201190"/>
    <x v="647"/>
    <s v="C46886"/>
    <x v="6"/>
    <n v="3"/>
    <n v="616.39"/>
    <s v="754 Main St"/>
    <x v="2"/>
    <x v="0"/>
    <s v="TRK82791646"/>
    <n v="6"/>
    <s v="FREESHIP"/>
    <x v="0"/>
    <x v="1185"/>
  </r>
  <r>
    <s v="ORD201191"/>
    <x v="441"/>
    <s v="C44148"/>
    <x v="6"/>
    <n v="4"/>
    <n v="376.43"/>
    <s v="809 Main St"/>
    <x v="3"/>
    <x v="4"/>
    <s v="TRK67872709"/>
    <n v="5"/>
    <s v="WINTER15"/>
    <x v="0"/>
    <x v="1186"/>
  </r>
  <r>
    <s v="ORD201192"/>
    <x v="329"/>
    <s v="C72007"/>
    <x v="3"/>
    <n v="3"/>
    <n v="432.85"/>
    <s v="999 Main St"/>
    <x v="1"/>
    <x v="4"/>
    <s v="TRK16240916"/>
    <n v="4"/>
    <s v="No Coupon"/>
    <x v="0"/>
    <x v="1187"/>
  </r>
  <r>
    <s v="ORD201193"/>
    <x v="667"/>
    <s v="C45104"/>
    <x v="2"/>
    <n v="1"/>
    <n v="687.89"/>
    <s v="348 Main St"/>
    <x v="4"/>
    <x v="2"/>
    <s v="TRK38559816"/>
    <n v="1"/>
    <s v="FREESHIP"/>
    <x v="2"/>
    <x v="1188"/>
  </r>
  <r>
    <s v="ORD201194"/>
    <x v="614"/>
    <s v="C29885"/>
    <x v="4"/>
    <n v="3"/>
    <n v="189.44"/>
    <s v="725 Main St"/>
    <x v="4"/>
    <x v="4"/>
    <s v="TRK62067865"/>
    <n v="4"/>
    <s v="FREESHIP"/>
    <x v="2"/>
    <x v="1189"/>
  </r>
  <r>
    <s v="ORD201195"/>
    <x v="643"/>
    <s v="C21126"/>
    <x v="6"/>
    <n v="1"/>
    <n v="107.04"/>
    <s v="392 Main St"/>
    <x v="2"/>
    <x v="1"/>
    <s v="TRK38009181"/>
    <n v="6"/>
    <s v="FREESHIP"/>
    <x v="4"/>
    <x v="1190"/>
  </r>
  <r>
    <s v="ORD201196"/>
    <x v="668"/>
    <s v="C20095"/>
    <x v="0"/>
    <n v="2"/>
    <n v="662.53"/>
    <s v="778 Main St"/>
    <x v="1"/>
    <x v="1"/>
    <s v="TRK69207593"/>
    <n v="5"/>
    <s v="No Coupon"/>
    <x v="3"/>
    <x v="1191"/>
  </r>
  <r>
    <s v="ORD201197"/>
    <x v="669"/>
    <s v="C79674"/>
    <x v="2"/>
    <n v="2"/>
    <n v="436.84"/>
    <s v="275 Main St"/>
    <x v="1"/>
    <x v="3"/>
    <s v="TRK88039356"/>
    <n v="2"/>
    <s v="FREESHIP"/>
    <x v="0"/>
    <x v="1192"/>
  </r>
  <r>
    <s v="ORD201198"/>
    <x v="670"/>
    <s v="C64753"/>
    <x v="3"/>
    <n v="4"/>
    <n v="262.52"/>
    <s v="509 Main St"/>
    <x v="0"/>
    <x v="1"/>
    <s v="TRK71683331"/>
    <n v="4"/>
    <s v="WINTER15"/>
    <x v="0"/>
    <x v="1193"/>
  </r>
  <r>
    <s v="ORD201199"/>
    <x v="236"/>
    <s v="C57502"/>
    <x v="2"/>
    <n v="4"/>
    <n v="560.58000000000004"/>
    <s v="201 Main St"/>
    <x v="3"/>
    <x v="2"/>
    <s v="TRK51116746"/>
    <n v="6"/>
    <s v="SAVE10"/>
    <x v="1"/>
    <x v="119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7334FA-B472-40C2-8E6D-AE3C70389104}" name="PivotTable9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rowHeaderCaption="Status">
  <location ref="A13:F18" firstHeaderRow="0" firstDataRow="1" firstDataCol="1"/>
  <pivotFields count="15">
    <pivotField dataField="1" showAll="0"/>
    <pivotField numFmtId="1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showAll="0"/>
    <pivotField dataField="1" showAll="0"/>
    <pivotField showAll="0"/>
    <pivotField showAll="0"/>
    <pivotField showAll="0"/>
    <pivotField axis="axisRow" showAll="0">
      <items count="6">
        <item x="1"/>
        <item x="3"/>
        <item x="4"/>
        <item x="2"/>
        <item x="0"/>
        <item t="default"/>
      </items>
    </pivotField>
    <pivotField showAll="0"/>
    <pivotField showAll="0"/>
    <pivotField showAll="0"/>
    <pivotField showAll="0"/>
    <pivotField dataField="1" showAll="0">
      <items count="1196">
        <item x="1156"/>
        <item x="862"/>
        <item x="239"/>
        <item x="541"/>
        <item x="335"/>
        <item x="775"/>
        <item x="1020"/>
        <item x="689"/>
        <item x="923"/>
        <item x="472"/>
        <item x="49"/>
        <item x="302"/>
        <item x="487"/>
        <item x="1039"/>
        <item x="759"/>
        <item x="1073"/>
        <item x="136"/>
        <item x="466"/>
        <item x="192"/>
        <item x="67"/>
        <item x="713"/>
        <item x="430"/>
        <item x="1015"/>
        <item x="556"/>
        <item x="810"/>
        <item x="250"/>
        <item x="628"/>
        <item x="483"/>
        <item x="773"/>
        <item x="903"/>
        <item x="350"/>
        <item x="234"/>
        <item x="291"/>
        <item x="799"/>
        <item x="1173"/>
        <item x="571"/>
        <item x="1079"/>
        <item x="599"/>
        <item x="662"/>
        <item x="392"/>
        <item x="451"/>
        <item x="828"/>
        <item x="981"/>
        <item x="410"/>
        <item x="386"/>
        <item x="928"/>
        <item x="531"/>
        <item x="128"/>
        <item x="131"/>
        <item x="62"/>
        <item x="1024"/>
        <item x="505"/>
        <item x="969"/>
        <item x="554"/>
        <item x="657"/>
        <item x="702"/>
        <item x="525"/>
        <item x="385"/>
        <item x="721"/>
        <item x="613"/>
        <item x="603"/>
        <item x="704"/>
        <item x="22"/>
        <item x="478"/>
        <item x="601"/>
        <item x="972"/>
        <item x="1190"/>
        <item x="709"/>
        <item x="349"/>
        <item x="453"/>
        <item x="1153"/>
        <item x="676"/>
        <item x="833"/>
        <item x="305"/>
        <item x="423"/>
        <item x="412"/>
        <item x="1007"/>
        <item x="550"/>
        <item x="703"/>
        <item x="206"/>
        <item x="1078"/>
        <item x="600"/>
        <item x="1102"/>
        <item x="1172"/>
        <item x="249"/>
        <item x="274"/>
        <item x="950"/>
        <item x="731"/>
        <item x="1046"/>
        <item x="562"/>
        <item x="1063"/>
        <item x="443"/>
        <item x="711"/>
        <item x="135"/>
        <item x="630"/>
        <item x="442"/>
        <item x="683"/>
        <item x="102"/>
        <item x="459"/>
        <item x="929"/>
        <item x="438"/>
        <item x="1002"/>
        <item x="1130"/>
        <item x="11"/>
        <item x="322"/>
        <item x="1116"/>
        <item x="760"/>
        <item x="523"/>
        <item x="1129"/>
        <item x="37"/>
        <item x="680"/>
        <item x="756"/>
        <item x="545"/>
        <item x="543"/>
        <item x="685"/>
        <item x="426"/>
        <item x="48"/>
        <item x="33"/>
        <item x="1181"/>
        <item x="722"/>
        <item x="278"/>
        <item x="340"/>
        <item x="230"/>
        <item x="506"/>
        <item x="784"/>
        <item x="734"/>
        <item x="692"/>
        <item x="830"/>
        <item x="835"/>
        <item x="50"/>
        <item x="450"/>
        <item x="414"/>
        <item x="1162"/>
        <item x="699"/>
        <item x="477"/>
        <item x="1095"/>
        <item x="634"/>
        <item x="380"/>
        <item x="92"/>
        <item x="1115"/>
        <item x="544"/>
        <item x="161"/>
        <item x="403"/>
        <item x="332"/>
        <item x="99"/>
        <item x="1179"/>
        <item x="534"/>
        <item x="257"/>
        <item x="1168"/>
        <item x="977"/>
        <item x="184"/>
        <item x="150"/>
        <item x="747"/>
        <item x="323"/>
        <item x="570"/>
        <item x="149"/>
        <item x="110"/>
        <item x="1069"/>
        <item x="244"/>
        <item x="785"/>
        <item x="991"/>
        <item x="933"/>
        <item x="761"/>
        <item x="684"/>
        <item x="720"/>
        <item x="108"/>
        <item x="982"/>
        <item x="38"/>
        <item x="229"/>
        <item x="193"/>
        <item x="1032"/>
        <item x="1094"/>
        <item x="461"/>
        <item x="1105"/>
        <item x="670"/>
        <item x="171"/>
        <item x="668"/>
        <item x="924"/>
        <item x="165"/>
        <item x="717"/>
        <item x="376"/>
        <item x="254"/>
        <item x="405"/>
        <item x="654"/>
        <item x="211"/>
        <item x="1054"/>
        <item x="185"/>
        <item x="584"/>
        <item x="8"/>
        <item x="397"/>
        <item x="3"/>
        <item x="1170"/>
        <item x="700"/>
        <item x="416"/>
        <item x="1014"/>
        <item x="298"/>
        <item x="413"/>
        <item x="909"/>
        <item x="316"/>
        <item x="54"/>
        <item x="1178"/>
        <item x="755"/>
        <item x="959"/>
        <item x="512"/>
        <item x="425"/>
        <item x="299"/>
        <item x="956"/>
        <item x="242"/>
        <item x="1043"/>
        <item x="170"/>
        <item x="26"/>
        <item x="138"/>
        <item x="159"/>
        <item x="289"/>
        <item x="644"/>
        <item x="1"/>
        <item x="42"/>
        <item x="214"/>
        <item x="979"/>
        <item x="610"/>
        <item x="218"/>
        <item x="1104"/>
        <item x="417"/>
        <item x="369"/>
        <item x="20"/>
        <item x="455"/>
        <item x="769"/>
        <item x="45"/>
        <item x="235"/>
        <item x="447"/>
        <item x="843"/>
        <item x="953"/>
        <item x="844"/>
        <item x="776"/>
        <item x="377"/>
        <item x="783"/>
        <item x="84"/>
        <item x="158"/>
        <item x="311"/>
        <item x="686"/>
        <item x="458"/>
        <item x="439"/>
        <item x="479"/>
        <item x="496"/>
        <item x="217"/>
        <item x="284"/>
        <item x="174"/>
        <item x="1180"/>
        <item x="88"/>
        <item x="1045"/>
        <item x="656"/>
        <item x="1004"/>
        <item x="1061"/>
        <item x="1143"/>
        <item x="1107"/>
        <item x="529"/>
        <item x="1038"/>
        <item x="326"/>
        <item x="12"/>
        <item x="861"/>
        <item x="593"/>
        <item x="273"/>
        <item x="850"/>
        <item x="223"/>
        <item x="716"/>
        <item x="357"/>
        <item x="897"/>
        <item x="1182"/>
        <item x="1028"/>
        <item x="1101"/>
        <item x="578"/>
        <item x="509"/>
        <item x="655"/>
        <item x="255"/>
        <item x="374"/>
        <item x="101"/>
        <item x="1138"/>
        <item x="394"/>
        <item x="708"/>
        <item x="51"/>
        <item x="724"/>
        <item x="832"/>
        <item x="64"/>
        <item x="1067"/>
        <item x="889"/>
        <item x="575"/>
        <item x="1167"/>
        <item x="309"/>
        <item x="134"/>
        <item x="25"/>
        <item x="460"/>
        <item x="807"/>
        <item x="160"/>
        <item x="256"/>
        <item x="952"/>
        <item x="65"/>
        <item x="619"/>
        <item x="502"/>
        <item x="112"/>
        <item x="121"/>
        <item x="723"/>
        <item x="617"/>
        <item x="434"/>
        <item x="60"/>
        <item x="285"/>
        <item x="467"/>
        <item x="47"/>
        <item x="492"/>
        <item x="408"/>
        <item x="859"/>
        <item x="17"/>
        <item x="596"/>
        <item x="155"/>
        <item x="641"/>
        <item x="396"/>
        <item x="1057"/>
        <item x="1171"/>
        <item x="168"/>
        <item x="975"/>
        <item x="18"/>
        <item x="465"/>
        <item x="418"/>
        <item x="263"/>
        <item x="241"/>
        <item x="782"/>
        <item x="642"/>
        <item x="918"/>
        <item x="85"/>
        <item x="966"/>
        <item x="145"/>
        <item x="246"/>
        <item x="893"/>
        <item x="204"/>
        <item x="902"/>
        <item x="744"/>
        <item x="317"/>
        <item x="488"/>
        <item x="1157"/>
        <item x="429"/>
        <item x="419"/>
        <item x="1064"/>
        <item x="74"/>
        <item x="276"/>
        <item x="98"/>
        <item x="604"/>
        <item x="314"/>
        <item x="898"/>
        <item x="883"/>
        <item x="612"/>
        <item x="24"/>
        <item x="794"/>
        <item x="582"/>
        <item x="892"/>
        <item x="348"/>
        <item x="96"/>
        <item x="666"/>
        <item x="95"/>
        <item x="558"/>
        <item x="338"/>
        <item x="27"/>
        <item x="15"/>
        <item x="696"/>
        <item x="729"/>
        <item x="895"/>
        <item x="955"/>
        <item x="1176"/>
        <item x="272"/>
        <item x="726"/>
        <item x="931"/>
        <item x="821"/>
        <item x="939"/>
        <item x="752"/>
        <item x="994"/>
        <item x="1096"/>
        <item x="444"/>
        <item x="61"/>
        <item x="677"/>
        <item x="592"/>
        <item x="863"/>
        <item x="5"/>
        <item x="515"/>
        <item x="137"/>
        <item x="694"/>
        <item x="667"/>
        <item x="996"/>
        <item x="476"/>
        <item x="304"/>
        <item x="1066"/>
        <item x="811"/>
        <item x="579"/>
        <item x="436"/>
        <item x="884"/>
        <item x="521"/>
        <item x="748"/>
        <item x="633"/>
        <item x="746"/>
        <item x="585"/>
        <item x="874"/>
        <item x="1164"/>
        <item x="342"/>
        <item x="520"/>
        <item x="638"/>
        <item x="497"/>
        <item x="94"/>
        <item x="1047"/>
        <item x="618"/>
        <item x="885"/>
        <item x="117"/>
        <item x="1035"/>
        <item x="294"/>
        <item x="400"/>
        <item x="156"/>
        <item x="1155"/>
        <item x="270"/>
        <item x="248"/>
        <item x="1055"/>
        <item x="978"/>
        <item x="1013"/>
        <item x="879"/>
        <item x="946"/>
        <item x="616"/>
        <item x="809"/>
        <item x="105"/>
        <item x="765"/>
        <item x="507"/>
        <item x="938"/>
        <item x="228"/>
        <item x="63"/>
        <item x="532"/>
        <item x="1189"/>
        <item x="362"/>
        <item x="762"/>
        <item x="866"/>
        <item x="373"/>
        <item x="264"/>
        <item x="742"/>
        <item x="420"/>
        <item x="583"/>
        <item x="940"/>
        <item x="210"/>
        <item x="749"/>
        <item x="104"/>
        <item x="77"/>
        <item x="906"/>
        <item x="139"/>
        <item x="300"/>
        <item x="52"/>
        <item x="855"/>
        <item x="813"/>
        <item x="186"/>
        <item x="838"/>
        <item x="167"/>
        <item x="293"/>
        <item x="881"/>
        <item x="1149"/>
        <item x="947"/>
        <item x="934"/>
        <item x="1034"/>
        <item x="181"/>
        <item x="958"/>
        <item x="495"/>
        <item x="424"/>
        <item x="13"/>
        <item x="695"/>
        <item x="771"/>
        <item x="590"/>
        <item x="320"/>
        <item x="313"/>
        <item x="948"/>
        <item x="591"/>
        <item x="546"/>
        <item x="535"/>
        <item x="334"/>
        <item x="1027"/>
        <item x="402"/>
        <item x="79"/>
        <item x="198"/>
        <item x="331"/>
        <item x="319"/>
        <item x="911"/>
        <item x="967"/>
        <item x="391"/>
        <item x="580"/>
        <item x="1086"/>
        <item x="527"/>
        <item x="70"/>
        <item x="352"/>
        <item x="1062"/>
        <item x="212"/>
        <item x="1103"/>
        <item x="243"/>
        <item x="66"/>
        <item x="148"/>
        <item x="454"/>
        <item x="28"/>
        <item x="399"/>
        <item x="1058"/>
        <item x="162"/>
        <item x="288"/>
        <item x="719"/>
        <item x="191"/>
        <item x="766"/>
        <item x="896"/>
        <item x="1125"/>
        <item x="565"/>
        <item x="555"/>
        <item x="345"/>
        <item x="602"/>
        <item x="440"/>
        <item x="1056"/>
        <item x="1049"/>
        <item x="875"/>
        <item x="1163"/>
        <item x="6"/>
        <item x="411"/>
        <item x="707"/>
        <item x="872"/>
        <item x="1169"/>
        <item x="552"/>
        <item x="524"/>
        <item x="247"/>
        <item x="189"/>
        <item x="1160"/>
        <item x="1110"/>
        <item x="624"/>
        <item x="1127"/>
        <item x="87"/>
        <item x="452"/>
        <item x="1021"/>
        <item x="890"/>
        <item x="364"/>
        <item x="834"/>
        <item x="245"/>
        <item x="1114"/>
        <item x="1188"/>
        <item x="567"/>
        <item x="473"/>
        <item x="40"/>
        <item x="1147"/>
        <item x="290"/>
        <item x="353"/>
        <item x="1126"/>
        <item x="820"/>
        <item x="1010"/>
        <item x="78"/>
        <item x="803"/>
        <item x="791"/>
        <item x="690"/>
        <item x="845"/>
        <item x="899"/>
        <item x="569"/>
        <item x="187"/>
        <item x="90"/>
        <item x="226"/>
        <item x="643"/>
        <item x="779"/>
        <item x="925"/>
        <item x="576"/>
        <item x="536"/>
        <item x="1183"/>
        <item x="649"/>
        <item x="728"/>
        <item x="672"/>
        <item x="219"/>
        <item x="7"/>
        <item x="916"/>
        <item x="1113"/>
        <item x="739"/>
        <item x="448"/>
        <item x="201"/>
        <item x="829"/>
        <item x="166"/>
        <item x="39"/>
        <item x="594"/>
        <item x="856"/>
        <item x="697"/>
        <item x="663"/>
        <item x="14"/>
        <item x="930"/>
        <item x="81"/>
        <item x="1088"/>
        <item x="253"/>
        <item x="516"/>
        <item x="1059"/>
        <item x="818"/>
        <item x="152"/>
        <item x="271"/>
        <item x="989"/>
        <item x="943"/>
        <item x="367"/>
        <item x="500"/>
        <item x="259"/>
        <item x="207"/>
        <item x="1037"/>
        <item x="224"/>
        <item x="146"/>
        <item x="605"/>
        <item x="1053"/>
        <item x="421"/>
        <item x="361"/>
        <item x="446"/>
        <item x="123"/>
        <item x="987"/>
        <item x="1108"/>
        <item x="1177"/>
        <item x="675"/>
        <item x="267"/>
        <item x="431"/>
        <item x="508"/>
        <item x="792"/>
        <item x="941"/>
        <item x="30"/>
        <item x="917"/>
        <item x="848"/>
        <item x="183"/>
        <item x="260"/>
        <item x="195"/>
        <item x="312"/>
        <item x="351"/>
        <item x="504"/>
        <item x="1192"/>
        <item x="103"/>
        <item x="474"/>
        <item x="796"/>
        <item x="1090"/>
        <item x="435"/>
        <item x="840"/>
        <item x="786"/>
        <item x="688"/>
        <item x="378"/>
        <item x="878"/>
        <item x="733"/>
        <item x="333"/>
        <item x="753"/>
        <item x="1152"/>
        <item x="927"/>
        <item x="513"/>
        <item x="1072"/>
        <item x="549"/>
        <item x="205"/>
        <item x="1158"/>
        <item x="589"/>
        <item x="743"/>
        <item x="758"/>
        <item x="664"/>
        <item x="907"/>
        <item x="111"/>
        <item x="503"/>
        <item x="1091"/>
        <item x="35"/>
        <item x="147"/>
        <item x="182"/>
        <item x="232"/>
        <item x="877"/>
        <item x="1128"/>
        <item x="1106"/>
        <item x="208"/>
        <item x="233"/>
        <item x="1016"/>
        <item x="865"/>
        <item x="901"/>
        <item x="113"/>
        <item x="1121"/>
        <item x="710"/>
        <item x="1006"/>
        <item x="384"/>
        <item x="737"/>
        <item x="1051"/>
        <item x="870"/>
        <item x="1161"/>
        <item x="190"/>
        <item x="871"/>
        <item x="1025"/>
        <item x="691"/>
        <item x="986"/>
        <item x="553"/>
        <item x="781"/>
        <item x="777"/>
        <item x="999"/>
        <item x="296"/>
        <item x="560"/>
        <item x="1048"/>
        <item x="935"/>
        <item x="261"/>
        <item x="164"/>
        <item x="588"/>
        <item x="375"/>
        <item x="754"/>
        <item x="646"/>
        <item x="1093"/>
        <item x="372"/>
        <item x="772"/>
        <item x="125"/>
        <item x="674"/>
        <item x="1081"/>
        <item x="475"/>
        <item x="55"/>
        <item x="409"/>
        <item x="486"/>
        <item x="283"/>
        <item x="936"/>
        <item x="1087"/>
        <item x="1193"/>
        <item x="427"/>
        <item x="381"/>
        <item x="469"/>
        <item x="390"/>
        <item x="129"/>
        <item x="346"/>
        <item x="1111"/>
        <item x="122"/>
        <item x="16"/>
        <item x="868"/>
        <item x="36"/>
        <item x="119"/>
        <item x="764"/>
        <item x="202"/>
        <item x="926"/>
        <item x="209"/>
        <item x="347"/>
        <item x="678"/>
        <item x="324"/>
        <item x="808"/>
        <item x="1033"/>
        <item x="841"/>
        <item x="23"/>
        <item x="876"/>
        <item x="144"/>
        <item x="1050"/>
        <item x="44"/>
        <item x="315"/>
        <item x="126"/>
        <item x="1019"/>
        <item x="1070"/>
        <item x="1098"/>
        <item x="1135"/>
        <item x="196"/>
        <item x="853"/>
        <item x="19"/>
        <item x="318"/>
        <item x="919"/>
        <item x="157"/>
        <item x="1009"/>
        <item x="328"/>
        <item x="124"/>
        <item x="957"/>
        <item x="705"/>
        <item x="481"/>
        <item x="653"/>
        <item x="647"/>
        <item x="970"/>
        <item x="321"/>
        <item x="116"/>
        <item x="1018"/>
        <item x="639"/>
        <item x="1142"/>
        <item x="1133"/>
        <item x="1000"/>
        <item x="621"/>
        <item x="980"/>
        <item x="622"/>
        <item x="945"/>
        <item x="1175"/>
        <item x="75"/>
        <item x="1084"/>
        <item x="750"/>
        <item x="275"/>
        <item x="1008"/>
        <item x="787"/>
        <item x="854"/>
        <item x="297"/>
        <item x="133"/>
        <item x="968"/>
        <item x="1145"/>
        <item x="279"/>
        <item x="484"/>
        <item x="1146"/>
        <item x="937"/>
        <item x="213"/>
        <item x="636"/>
        <item x="1003"/>
        <item x="839"/>
        <item x="407"/>
        <item x="269"/>
        <item x="1031"/>
        <item x="629"/>
        <item x="671"/>
        <item x="774"/>
        <item x="568"/>
        <item x="1099"/>
        <item x="985"/>
        <item x="867"/>
        <item x="330"/>
        <item x="805"/>
        <item x="29"/>
        <item x="660"/>
        <item x="547"/>
        <item x="826"/>
        <item x="658"/>
        <item x="648"/>
        <item x="216"/>
        <item x="1052"/>
        <item x="415"/>
        <item x="842"/>
        <item x="847"/>
        <item x="1080"/>
        <item x="1187"/>
        <item x="354"/>
        <item x="1085"/>
        <item x="329"/>
        <item x="727"/>
        <item x="659"/>
        <item x="71"/>
        <item x="995"/>
        <item x="858"/>
        <item x="665"/>
        <item x="798"/>
        <item x="625"/>
        <item x="661"/>
        <item x="887"/>
        <item x="1191"/>
        <item x="379"/>
        <item x="951"/>
        <item x="971"/>
        <item x="993"/>
        <item x="611"/>
        <item x="921"/>
        <item x="1011"/>
        <item x="307"/>
        <item x="608"/>
        <item x="542"/>
        <item x="200"/>
        <item x="528"/>
        <item x="1017"/>
        <item x="824"/>
        <item x="197"/>
        <item x="1012"/>
        <item x="718"/>
        <item x="715"/>
        <item x="142"/>
        <item x="21"/>
        <item x="437"/>
        <item x="942"/>
        <item x="1097"/>
        <item x="679"/>
        <item x="1144"/>
        <item x="825"/>
        <item x="1165"/>
        <item x="106"/>
        <item x="905"/>
        <item x="963"/>
        <item x="301"/>
        <item x="127"/>
        <item x="984"/>
        <item x="900"/>
        <item x="581"/>
        <item x="1100"/>
        <item x="673"/>
        <item x="395"/>
        <item x="69"/>
        <item x="56"/>
        <item x="823"/>
        <item x="1068"/>
        <item x="371"/>
        <item x="812"/>
        <item x="852"/>
        <item x="537"/>
        <item x="68"/>
        <item x="1083"/>
        <item x="635"/>
        <item x="904"/>
        <item x="1136"/>
        <item x="626"/>
        <item x="43"/>
        <item x="31"/>
        <item x="130"/>
        <item x="1134"/>
        <item x="1186"/>
        <item x="336"/>
        <item x="949"/>
        <item x="493"/>
        <item x="471"/>
        <item x="337"/>
        <item x="681"/>
        <item x="76"/>
        <item x="237"/>
        <item x="370"/>
        <item x="793"/>
        <item x="564"/>
        <item x="227"/>
        <item x="738"/>
        <item x="817"/>
        <item x="57"/>
        <item x="441"/>
        <item x="382"/>
        <item x="1159"/>
        <item x="179"/>
        <item x="1040"/>
        <item x="140"/>
        <item x="538"/>
        <item x="998"/>
        <item x="530"/>
        <item x="143"/>
        <item x="517"/>
        <item x="238"/>
        <item x="827"/>
        <item x="498"/>
        <item x="178"/>
        <item x="154"/>
        <item x="1120"/>
        <item x="790"/>
        <item x="433"/>
        <item x="1132"/>
        <item x="1041"/>
        <item x="965"/>
        <item x="860"/>
        <item x="203"/>
        <item x="252"/>
        <item x="514"/>
        <item x="383"/>
        <item x="1118"/>
        <item x="740"/>
        <item x="598"/>
        <item x="789"/>
        <item x="306"/>
        <item x="1124"/>
        <item x="401"/>
        <item x="701"/>
        <item x="501"/>
        <item x="551"/>
        <item x="1076"/>
        <item x="511"/>
        <item x="851"/>
        <item x="651"/>
        <item x="814"/>
        <item x="623"/>
        <item x="1140"/>
        <item x="751"/>
        <item x="1077"/>
        <item x="175"/>
        <item x="93"/>
        <item x="891"/>
        <item x="73"/>
        <item x="846"/>
        <item x="463"/>
        <item x="795"/>
        <item x="262"/>
        <item x="482"/>
        <item x="258"/>
        <item x="236"/>
        <item x="988"/>
        <item x="1023"/>
        <item x="225"/>
        <item x="1112"/>
        <item x="778"/>
        <item x="973"/>
        <item x="80"/>
        <item x="231"/>
        <item x="109"/>
        <item x="132"/>
        <item x="615"/>
        <item x="365"/>
        <item x="404"/>
        <item x="1122"/>
        <item x="277"/>
        <item x="595"/>
        <item x="563"/>
        <item x="961"/>
        <item x="41"/>
        <item x="915"/>
        <item x="698"/>
        <item x="1185"/>
        <item x="292"/>
        <item x="518"/>
        <item x="194"/>
        <item x="944"/>
        <item x="1154"/>
        <item x="343"/>
        <item x="355"/>
        <item x="757"/>
        <item x="115"/>
        <item x="368"/>
        <item x="869"/>
        <item x="432"/>
        <item x="992"/>
        <item x="58"/>
        <item x="387"/>
        <item x="519"/>
        <item x="849"/>
        <item x="914"/>
        <item x="573"/>
        <item x="894"/>
        <item x="650"/>
        <item x="480"/>
        <item x="1123"/>
        <item x="533"/>
        <item x="1184"/>
        <item x="609"/>
        <item x="920"/>
        <item x="53"/>
        <item x="1044"/>
        <item x="714"/>
        <item x="888"/>
        <item x="1065"/>
        <item x="494"/>
        <item x="1005"/>
        <item x="732"/>
        <item x="1109"/>
        <item x="215"/>
        <item x="908"/>
        <item x="745"/>
        <item x="802"/>
        <item x="561"/>
        <item x="172"/>
        <item x="645"/>
        <item x="100"/>
        <item x="1131"/>
        <item x="976"/>
        <item x="912"/>
        <item x="180"/>
        <item x="1030"/>
        <item x="806"/>
        <item x="9"/>
        <item x="457"/>
        <item x="356"/>
        <item x="303"/>
        <item x="177"/>
        <item x="287"/>
        <item x="141"/>
        <item x="428"/>
        <item x="882"/>
        <item x="652"/>
        <item x="1029"/>
        <item x="1166"/>
        <item x="770"/>
        <item x="932"/>
        <item x="735"/>
        <item x="741"/>
        <item x="490"/>
        <item x="1001"/>
        <item x="572"/>
        <item x="1141"/>
        <item x="398"/>
        <item x="712"/>
        <item x="736"/>
        <item x="153"/>
        <item x="1150"/>
        <item x="188"/>
        <item x="669"/>
        <item x="176"/>
        <item x="282"/>
        <item x="1042"/>
        <item x="83"/>
        <item x="199"/>
        <item x="857"/>
        <item x="406"/>
        <item x="308"/>
        <item x="46"/>
        <item x="1022"/>
        <item x="151"/>
        <item x="1036"/>
        <item x="574"/>
        <item x="1194"/>
        <item x="82"/>
        <item x="640"/>
        <item x="89"/>
        <item x="540"/>
        <item x="614"/>
        <item x="34"/>
        <item x="1119"/>
        <item x="837"/>
        <item x="587"/>
        <item x="637"/>
        <item x="962"/>
        <item x="1075"/>
        <item x="725"/>
        <item x="341"/>
        <item x="265"/>
        <item x="489"/>
        <item x="266"/>
        <item x="559"/>
        <item x="72"/>
        <item x="359"/>
        <item x="804"/>
        <item x="687"/>
        <item x="59"/>
        <item x="910"/>
        <item x="620"/>
        <item x="800"/>
        <item x="816"/>
        <item x="173"/>
        <item x="358"/>
        <item x="831"/>
        <item x="797"/>
        <item x="485"/>
        <item x="310"/>
        <item x="990"/>
        <item x="456"/>
        <item x="91"/>
        <item x="566"/>
        <item x="597"/>
        <item x="114"/>
        <item x="4"/>
        <item x="344"/>
        <item x="922"/>
        <item x="557"/>
        <item x="118"/>
        <item x="120"/>
        <item x="548"/>
        <item x="1092"/>
        <item x="606"/>
        <item x="1139"/>
        <item x="499"/>
        <item x="389"/>
        <item x="445"/>
        <item x="281"/>
        <item x="464"/>
        <item x="586"/>
        <item x="983"/>
        <item x="1174"/>
        <item x="1089"/>
        <item x="974"/>
        <item x="706"/>
        <item x="339"/>
        <item x="682"/>
        <item x="822"/>
        <item x="280"/>
        <item x="286"/>
        <item x="780"/>
        <item x="522"/>
        <item x="393"/>
        <item x="960"/>
        <item x="169"/>
        <item x="268"/>
        <item x="693"/>
        <item x="251"/>
        <item x="163"/>
        <item x="32"/>
        <item x="864"/>
        <item x="768"/>
        <item x="607"/>
        <item x="422"/>
        <item x="1071"/>
        <item x="2"/>
        <item x="470"/>
        <item x="1151"/>
        <item x="222"/>
        <item x="1082"/>
        <item x="221"/>
        <item x="1137"/>
        <item x="1148"/>
        <item x="388"/>
        <item x="627"/>
        <item x="997"/>
        <item x="880"/>
        <item x="577"/>
        <item x="0"/>
        <item x="815"/>
        <item x="510"/>
        <item x="913"/>
        <item x="730"/>
        <item x="632"/>
        <item x="491"/>
        <item x="873"/>
        <item x="449"/>
        <item x="240"/>
        <item x="97"/>
        <item x="819"/>
        <item x="10"/>
        <item x="763"/>
        <item x="363"/>
        <item x="1074"/>
        <item x="295"/>
        <item x="964"/>
        <item x="220"/>
        <item x="86"/>
        <item x="954"/>
        <item x="801"/>
        <item x="539"/>
        <item x="886"/>
        <item x="767"/>
        <item x="526"/>
        <item x="836"/>
        <item x="366"/>
        <item x="360"/>
        <item x="462"/>
        <item x="1026"/>
        <item x="1060"/>
        <item x="325"/>
        <item x="107"/>
        <item x="327"/>
        <item x="468"/>
        <item x="631"/>
        <item x="1117"/>
        <item x="788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8"/>
  </rowFields>
  <rowItems count="5">
    <i>
      <x/>
    </i>
    <i>
      <x v="1"/>
    </i>
    <i>
      <x v="2"/>
    </i>
    <i>
      <x v="3"/>
    </i>
    <i>
      <x v="4"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Average Total Price" fld="13" subtotal="average" baseField="14" baseItem="0"/>
    <dataField name="% of" fld="0" subtotal="count" showDataAs="percentOfTotal" baseField="8" baseItem="0" numFmtId="10"/>
    <dataField name="Sum of TotalPrice" fld="13" baseField="0" baseItem="0"/>
    <dataField name="Count of OrderID" fld="0" subtotal="count" baseField="14" baseItem="1"/>
    <dataField name="Average of Quantity" fld="4" subtotal="average" baseField="14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4FB66F-14A7-42AE-B32C-E77C327C740E}" name="PivotTable11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rowHeaderCaption="Means of Payment">
  <location ref="A21:F26" firstHeaderRow="0" firstDataRow="1" firstDataCol="1"/>
  <pivotFields count="15">
    <pivotField dataField="1" showAll="0"/>
    <pivotField numFmtId="1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showAll="0"/>
    <pivotField dataField="1" showAll="0"/>
    <pivotField showAll="0"/>
    <pivotField showAll="0"/>
    <pivotField axis="axisRow" showAll="0">
      <items count="6">
        <item x="4"/>
        <item x="2"/>
        <item x="0"/>
        <item x="3"/>
        <item x="1"/>
        <item t="default"/>
      </items>
    </pivotField>
    <pivotField showAll="0">
      <items count="6">
        <item x="1"/>
        <item x="3"/>
        <item x="4"/>
        <item x="2"/>
        <item x="0"/>
        <item t="default"/>
      </items>
    </pivotField>
    <pivotField showAll="0"/>
    <pivotField showAll="0"/>
    <pivotField showAll="0"/>
    <pivotField showAll="0"/>
    <pivotField dataField="1" showAll="0">
      <items count="1196">
        <item x="1156"/>
        <item x="862"/>
        <item x="239"/>
        <item x="541"/>
        <item x="335"/>
        <item x="775"/>
        <item x="1020"/>
        <item x="689"/>
        <item x="923"/>
        <item x="472"/>
        <item x="49"/>
        <item x="302"/>
        <item x="487"/>
        <item x="1039"/>
        <item x="759"/>
        <item x="1073"/>
        <item x="136"/>
        <item x="466"/>
        <item x="192"/>
        <item x="67"/>
        <item x="713"/>
        <item x="430"/>
        <item x="1015"/>
        <item x="556"/>
        <item x="810"/>
        <item x="250"/>
        <item x="628"/>
        <item x="483"/>
        <item x="773"/>
        <item x="903"/>
        <item x="350"/>
        <item x="234"/>
        <item x="291"/>
        <item x="799"/>
        <item x="1173"/>
        <item x="571"/>
        <item x="1079"/>
        <item x="599"/>
        <item x="662"/>
        <item x="392"/>
        <item x="451"/>
        <item x="828"/>
        <item x="981"/>
        <item x="410"/>
        <item x="386"/>
        <item x="928"/>
        <item x="531"/>
        <item x="128"/>
        <item x="131"/>
        <item x="62"/>
        <item x="1024"/>
        <item x="505"/>
        <item x="969"/>
        <item x="554"/>
        <item x="657"/>
        <item x="702"/>
        <item x="525"/>
        <item x="385"/>
        <item x="721"/>
        <item x="613"/>
        <item x="603"/>
        <item x="704"/>
        <item x="22"/>
        <item x="478"/>
        <item x="601"/>
        <item x="972"/>
        <item x="1190"/>
        <item x="709"/>
        <item x="349"/>
        <item x="453"/>
        <item x="1153"/>
        <item x="676"/>
        <item x="833"/>
        <item x="305"/>
        <item x="423"/>
        <item x="412"/>
        <item x="1007"/>
        <item x="550"/>
        <item x="703"/>
        <item x="206"/>
        <item x="1078"/>
        <item x="600"/>
        <item x="1102"/>
        <item x="1172"/>
        <item x="249"/>
        <item x="274"/>
        <item x="950"/>
        <item x="731"/>
        <item x="1046"/>
        <item x="562"/>
        <item x="1063"/>
        <item x="443"/>
        <item x="711"/>
        <item x="135"/>
        <item x="630"/>
        <item x="442"/>
        <item x="683"/>
        <item x="102"/>
        <item x="459"/>
        <item x="929"/>
        <item x="438"/>
        <item x="1002"/>
        <item x="1130"/>
        <item x="11"/>
        <item x="322"/>
        <item x="1116"/>
        <item x="760"/>
        <item x="523"/>
        <item x="1129"/>
        <item x="37"/>
        <item x="680"/>
        <item x="756"/>
        <item x="545"/>
        <item x="543"/>
        <item x="685"/>
        <item x="426"/>
        <item x="48"/>
        <item x="33"/>
        <item x="1181"/>
        <item x="722"/>
        <item x="278"/>
        <item x="340"/>
        <item x="230"/>
        <item x="506"/>
        <item x="784"/>
        <item x="734"/>
        <item x="692"/>
        <item x="830"/>
        <item x="835"/>
        <item x="50"/>
        <item x="450"/>
        <item x="414"/>
        <item x="1162"/>
        <item x="699"/>
        <item x="477"/>
        <item x="1095"/>
        <item x="634"/>
        <item x="380"/>
        <item x="92"/>
        <item x="1115"/>
        <item x="544"/>
        <item x="161"/>
        <item x="403"/>
        <item x="332"/>
        <item x="99"/>
        <item x="1179"/>
        <item x="534"/>
        <item x="257"/>
        <item x="1168"/>
        <item x="977"/>
        <item x="184"/>
        <item x="150"/>
        <item x="747"/>
        <item x="323"/>
        <item x="570"/>
        <item x="149"/>
        <item x="110"/>
        <item x="1069"/>
        <item x="244"/>
        <item x="785"/>
        <item x="991"/>
        <item x="933"/>
        <item x="761"/>
        <item x="684"/>
        <item x="720"/>
        <item x="108"/>
        <item x="982"/>
        <item x="38"/>
        <item x="229"/>
        <item x="193"/>
        <item x="1032"/>
        <item x="1094"/>
        <item x="461"/>
        <item x="1105"/>
        <item x="670"/>
        <item x="171"/>
        <item x="668"/>
        <item x="924"/>
        <item x="165"/>
        <item x="717"/>
        <item x="376"/>
        <item x="254"/>
        <item x="405"/>
        <item x="654"/>
        <item x="211"/>
        <item x="1054"/>
        <item x="185"/>
        <item x="584"/>
        <item x="8"/>
        <item x="397"/>
        <item x="3"/>
        <item x="1170"/>
        <item x="700"/>
        <item x="416"/>
        <item x="1014"/>
        <item x="298"/>
        <item x="413"/>
        <item x="909"/>
        <item x="316"/>
        <item x="54"/>
        <item x="1178"/>
        <item x="755"/>
        <item x="959"/>
        <item x="512"/>
        <item x="425"/>
        <item x="299"/>
        <item x="956"/>
        <item x="242"/>
        <item x="1043"/>
        <item x="170"/>
        <item x="26"/>
        <item x="138"/>
        <item x="159"/>
        <item x="289"/>
        <item x="644"/>
        <item x="1"/>
        <item x="42"/>
        <item x="214"/>
        <item x="979"/>
        <item x="610"/>
        <item x="218"/>
        <item x="1104"/>
        <item x="417"/>
        <item x="369"/>
        <item x="20"/>
        <item x="455"/>
        <item x="769"/>
        <item x="45"/>
        <item x="235"/>
        <item x="447"/>
        <item x="843"/>
        <item x="953"/>
        <item x="844"/>
        <item x="776"/>
        <item x="377"/>
        <item x="783"/>
        <item x="84"/>
        <item x="158"/>
        <item x="311"/>
        <item x="686"/>
        <item x="458"/>
        <item x="439"/>
        <item x="479"/>
        <item x="496"/>
        <item x="217"/>
        <item x="284"/>
        <item x="174"/>
        <item x="1180"/>
        <item x="88"/>
        <item x="1045"/>
        <item x="656"/>
        <item x="1004"/>
        <item x="1061"/>
        <item x="1143"/>
        <item x="1107"/>
        <item x="529"/>
        <item x="1038"/>
        <item x="326"/>
        <item x="12"/>
        <item x="861"/>
        <item x="593"/>
        <item x="273"/>
        <item x="850"/>
        <item x="223"/>
        <item x="716"/>
        <item x="357"/>
        <item x="897"/>
        <item x="1182"/>
        <item x="1028"/>
        <item x="1101"/>
        <item x="578"/>
        <item x="509"/>
        <item x="655"/>
        <item x="255"/>
        <item x="374"/>
        <item x="101"/>
        <item x="1138"/>
        <item x="394"/>
        <item x="708"/>
        <item x="51"/>
        <item x="724"/>
        <item x="832"/>
        <item x="64"/>
        <item x="1067"/>
        <item x="889"/>
        <item x="575"/>
        <item x="1167"/>
        <item x="309"/>
        <item x="134"/>
        <item x="25"/>
        <item x="460"/>
        <item x="807"/>
        <item x="160"/>
        <item x="256"/>
        <item x="952"/>
        <item x="65"/>
        <item x="619"/>
        <item x="502"/>
        <item x="112"/>
        <item x="121"/>
        <item x="723"/>
        <item x="617"/>
        <item x="434"/>
        <item x="60"/>
        <item x="285"/>
        <item x="467"/>
        <item x="47"/>
        <item x="492"/>
        <item x="408"/>
        <item x="859"/>
        <item x="17"/>
        <item x="596"/>
        <item x="155"/>
        <item x="641"/>
        <item x="396"/>
        <item x="1057"/>
        <item x="1171"/>
        <item x="168"/>
        <item x="975"/>
        <item x="18"/>
        <item x="465"/>
        <item x="418"/>
        <item x="263"/>
        <item x="241"/>
        <item x="782"/>
        <item x="642"/>
        <item x="918"/>
        <item x="85"/>
        <item x="966"/>
        <item x="145"/>
        <item x="246"/>
        <item x="893"/>
        <item x="204"/>
        <item x="902"/>
        <item x="744"/>
        <item x="317"/>
        <item x="488"/>
        <item x="1157"/>
        <item x="429"/>
        <item x="419"/>
        <item x="1064"/>
        <item x="74"/>
        <item x="276"/>
        <item x="98"/>
        <item x="604"/>
        <item x="314"/>
        <item x="898"/>
        <item x="883"/>
        <item x="612"/>
        <item x="24"/>
        <item x="794"/>
        <item x="582"/>
        <item x="892"/>
        <item x="348"/>
        <item x="96"/>
        <item x="666"/>
        <item x="95"/>
        <item x="558"/>
        <item x="338"/>
        <item x="27"/>
        <item x="15"/>
        <item x="696"/>
        <item x="729"/>
        <item x="895"/>
        <item x="955"/>
        <item x="1176"/>
        <item x="272"/>
        <item x="726"/>
        <item x="931"/>
        <item x="821"/>
        <item x="939"/>
        <item x="752"/>
        <item x="994"/>
        <item x="1096"/>
        <item x="444"/>
        <item x="61"/>
        <item x="677"/>
        <item x="592"/>
        <item x="863"/>
        <item x="5"/>
        <item x="515"/>
        <item x="137"/>
        <item x="694"/>
        <item x="667"/>
        <item x="996"/>
        <item x="476"/>
        <item x="304"/>
        <item x="1066"/>
        <item x="811"/>
        <item x="579"/>
        <item x="436"/>
        <item x="884"/>
        <item x="521"/>
        <item x="748"/>
        <item x="633"/>
        <item x="746"/>
        <item x="585"/>
        <item x="874"/>
        <item x="1164"/>
        <item x="342"/>
        <item x="520"/>
        <item x="638"/>
        <item x="497"/>
        <item x="94"/>
        <item x="1047"/>
        <item x="618"/>
        <item x="885"/>
        <item x="117"/>
        <item x="1035"/>
        <item x="294"/>
        <item x="400"/>
        <item x="156"/>
        <item x="1155"/>
        <item x="270"/>
        <item x="248"/>
        <item x="1055"/>
        <item x="978"/>
        <item x="1013"/>
        <item x="879"/>
        <item x="946"/>
        <item x="616"/>
        <item x="809"/>
        <item x="105"/>
        <item x="765"/>
        <item x="507"/>
        <item x="938"/>
        <item x="228"/>
        <item x="63"/>
        <item x="532"/>
        <item x="1189"/>
        <item x="362"/>
        <item x="762"/>
        <item x="866"/>
        <item x="373"/>
        <item x="264"/>
        <item x="742"/>
        <item x="420"/>
        <item x="583"/>
        <item x="940"/>
        <item x="210"/>
        <item x="749"/>
        <item x="104"/>
        <item x="77"/>
        <item x="906"/>
        <item x="139"/>
        <item x="300"/>
        <item x="52"/>
        <item x="855"/>
        <item x="813"/>
        <item x="186"/>
        <item x="838"/>
        <item x="167"/>
        <item x="293"/>
        <item x="881"/>
        <item x="1149"/>
        <item x="947"/>
        <item x="934"/>
        <item x="1034"/>
        <item x="181"/>
        <item x="958"/>
        <item x="495"/>
        <item x="424"/>
        <item x="13"/>
        <item x="695"/>
        <item x="771"/>
        <item x="590"/>
        <item x="320"/>
        <item x="313"/>
        <item x="948"/>
        <item x="591"/>
        <item x="546"/>
        <item x="535"/>
        <item x="334"/>
        <item x="1027"/>
        <item x="402"/>
        <item x="79"/>
        <item x="198"/>
        <item x="331"/>
        <item x="319"/>
        <item x="911"/>
        <item x="967"/>
        <item x="391"/>
        <item x="580"/>
        <item x="1086"/>
        <item x="527"/>
        <item x="70"/>
        <item x="352"/>
        <item x="1062"/>
        <item x="212"/>
        <item x="1103"/>
        <item x="243"/>
        <item x="66"/>
        <item x="148"/>
        <item x="454"/>
        <item x="28"/>
        <item x="399"/>
        <item x="1058"/>
        <item x="162"/>
        <item x="288"/>
        <item x="719"/>
        <item x="191"/>
        <item x="766"/>
        <item x="896"/>
        <item x="1125"/>
        <item x="565"/>
        <item x="555"/>
        <item x="345"/>
        <item x="602"/>
        <item x="440"/>
        <item x="1056"/>
        <item x="1049"/>
        <item x="875"/>
        <item x="1163"/>
        <item x="6"/>
        <item x="411"/>
        <item x="707"/>
        <item x="872"/>
        <item x="1169"/>
        <item x="552"/>
        <item x="524"/>
        <item x="247"/>
        <item x="189"/>
        <item x="1160"/>
        <item x="1110"/>
        <item x="624"/>
        <item x="1127"/>
        <item x="87"/>
        <item x="452"/>
        <item x="1021"/>
        <item x="890"/>
        <item x="364"/>
        <item x="834"/>
        <item x="245"/>
        <item x="1114"/>
        <item x="1188"/>
        <item x="567"/>
        <item x="473"/>
        <item x="40"/>
        <item x="1147"/>
        <item x="290"/>
        <item x="353"/>
        <item x="1126"/>
        <item x="820"/>
        <item x="1010"/>
        <item x="78"/>
        <item x="803"/>
        <item x="791"/>
        <item x="690"/>
        <item x="845"/>
        <item x="899"/>
        <item x="569"/>
        <item x="187"/>
        <item x="90"/>
        <item x="226"/>
        <item x="643"/>
        <item x="779"/>
        <item x="925"/>
        <item x="576"/>
        <item x="536"/>
        <item x="1183"/>
        <item x="649"/>
        <item x="728"/>
        <item x="672"/>
        <item x="219"/>
        <item x="7"/>
        <item x="916"/>
        <item x="1113"/>
        <item x="739"/>
        <item x="448"/>
        <item x="201"/>
        <item x="829"/>
        <item x="166"/>
        <item x="39"/>
        <item x="594"/>
        <item x="856"/>
        <item x="697"/>
        <item x="663"/>
        <item x="14"/>
        <item x="930"/>
        <item x="81"/>
        <item x="1088"/>
        <item x="253"/>
        <item x="516"/>
        <item x="1059"/>
        <item x="818"/>
        <item x="152"/>
        <item x="271"/>
        <item x="989"/>
        <item x="943"/>
        <item x="367"/>
        <item x="500"/>
        <item x="259"/>
        <item x="207"/>
        <item x="1037"/>
        <item x="224"/>
        <item x="146"/>
        <item x="605"/>
        <item x="1053"/>
        <item x="421"/>
        <item x="361"/>
        <item x="446"/>
        <item x="123"/>
        <item x="987"/>
        <item x="1108"/>
        <item x="1177"/>
        <item x="675"/>
        <item x="267"/>
        <item x="431"/>
        <item x="508"/>
        <item x="792"/>
        <item x="941"/>
        <item x="30"/>
        <item x="917"/>
        <item x="848"/>
        <item x="183"/>
        <item x="260"/>
        <item x="195"/>
        <item x="312"/>
        <item x="351"/>
        <item x="504"/>
        <item x="1192"/>
        <item x="103"/>
        <item x="474"/>
        <item x="796"/>
        <item x="1090"/>
        <item x="435"/>
        <item x="840"/>
        <item x="786"/>
        <item x="688"/>
        <item x="378"/>
        <item x="878"/>
        <item x="733"/>
        <item x="333"/>
        <item x="753"/>
        <item x="1152"/>
        <item x="927"/>
        <item x="513"/>
        <item x="1072"/>
        <item x="549"/>
        <item x="205"/>
        <item x="1158"/>
        <item x="589"/>
        <item x="743"/>
        <item x="758"/>
        <item x="664"/>
        <item x="907"/>
        <item x="111"/>
        <item x="503"/>
        <item x="1091"/>
        <item x="35"/>
        <item x="147"/>
        <item x="182"/>
        <item x="232"/>
        <item x="877"/>
        <item x="1128"/>
        <item x="1106"/>
        <item x="208"/>
        <item x="233"/>
        <item x="1016"/>
        <item x="865"/>
        <item x="901"/>
        <item x="113"/>
        <item x="1121"/>
        <item x="710"/>
        <item x="1006"/>
        <item x="384"/>
        <item x="737"/>
        <item x="1051"/>
        <item x="870"/>
        <item x="1161"/>
        <item x="190"/>
        <item x="871"/>
        <item x="1025"/>
        <item x="691"/>
        <item x="986"/>
        <item x="553"/>
        <item x="781"/>
        <item x="777"/>
        <item x="999"/>
        <item x="296"/>
        <item x="560"/>
        <item x="1048"/>
        <item x="935"/>
        <item x="261"/>
        <item x="164"/>
        <item x="588"/>
        <item x="375"/>
        <item x="754"/>
        <item x="646"/>
        <item x="1093"/>
        <item x="372"/>
        <item x="772"/>
        <item x="125"/>
        <item x="674"/>
        <item x="1081"/>
        <item x="475"/>
        <item x="55"/>
        <item x="409"/>
        <item x="486"/>
        <item x="283"/>
        <item x="936"/>
        <item x="1087"/>
        <item x="1193"/>
        <item x="427"/>
        <item x="381"/>
        <item x="469"/>
        <item x="390"/>
        <item x="129"/>
        <item x="346"/>
        <item x="1111"/>
        <item x="122"/>
        <item x="16"/>
        <item x="868"/>
        <item x="36"/>
        <item x="119"/>
        <item x="764"/>
        <item x="202"/>
        <item x="926"/>
        <item x="209"/>
        <item x="347"/>
        <item x="678"/>
        <item x="324"/>
        <item x="808"/>
        <item x="1033"/>
        <item x="841"/>
        <item x="23"/>
        <item x="876"/>
        <item x="144"/>
        <item x="1050"/>
        <item x="44"/>
        <item x="315"/>
        <item x="126"/>
        <item x="1019"/>
        <item x="1070"/>
        <item x="1098"/>
        <item x="1135"/>
        <item x="196"/>
        <item x="853"/>
        <item x="19"/>
        <item x="318"/>
        <item x="919"/>
        <item x="157"/>
        <item x="1009"/>
        <item x="328"/>
        <item x="124"/>
        <item x="957"/>
        <item x="705"/>
        <item x="481"/>
        <item x="653"/>
        <item x="647"/>
        <item x="970"/>
        <item x="321"/>
        <item x="116"/>
        <item x="1018"/>
        <item x="639"/>
        <item x="1142"/>
        <item x="1133"/>
        <item x="1000"/>
        <item x="621"/>
        <item x="980"/>
        <item x="622"/>
        <item x="945"/>
        <item x="1175"/>
        <item x="75"/>
        <item x="1084"/>
        <item x="750"/>
        <item x="275"/>
        <item x="1008"/>
        <item x="787"/>
        <item x="854"/>
        <item x="297"/>
        <item x="133"/>
        <item x="968"/>
        <item x="1145"/>
        <item x="279"/>
        <item x="484"/>
        <item x="1146"/>
        <item x="937"/>
        <item x="213"/>
        <item x="636"/>
        <item x="1003"/>
        <item x="839"/>
        <item x="407"/>
        <item x="269"/>
        <item x="1031"/>
        <item x="629"/>
        <item x="671"/>
        <item x="774"/>
        <item x="568"/>
        <item x="1099"/>
        <item x="985"/>
        <item x="867"/>
        <item x="330"/>
        <item x="805"/>
        <item x="29"/>
        <item x="660"/>
        <item x="547"/>
        <item x="826"/>
        <item x="658"/>
        <item x="648"/>
        <item x="216"/>
        <item x="1052"/>
        <item x="415"/>
        <item x="842"/>
        <item x="847"/>
        <item x="1080"/>
        <item x="1187"/>
        <item x="354"/>
        <item x="1085"/>
        <item x="329"/>
        <item x="727"/>
        <item x="659"/>
        <item x="71"/>
        <item x="995"/>
        <item x="858"/>
        <item x="665"/>
        <item x="798"/>
        <item x="625"/>
        <item x="661"/>
        <item x="887"/>
        <item x="1191"/>
        <item x="379"/>
        <item x="951"/>
        <item x="971"/>
        <item x="993"/>
        <item x="611"/>
        <item x="921"/>
        <item x="1011"/>
        <item x="307"/>
        <item x="608"/>
        <item x="542"/>
        <item x="200"/>
        <item x="528"/>
        <item x="1017"/>
        <item x="824"/>
        <item x="197"/>
        <item x="1012"/>
        <item x="718"/>
        <item x="715"/>
        <item x="142"/>
        <item x="21"/>
        <item x="437"/>
        <item x="942"/>
        <item x="1097"/>
        <item x="679"/>
        <item x="1144"/>
        <item x="825"/>
        <item x="1165"/>
        <item x="106"/>
        <item x="905"/>
        <item x="963"/>
        <item x="301"/>
        <item x="127"/>
        <item x="984"/>
        <item x="900"/>
        <item x="581"/>
        <item x="1100"/>
        <item x="673"/>
        <item x="395"/>
        <item x="69"/>
        <item x="56"/>
        <item x="823"/>
        <item x="1068"/>
        <item x="371"/>
        <item x="812"/>
        <item x="852"/>
        <item x="537"/>
        <item x="68"/>
        <item x="1083"/>
        <item x="635"/>
        <item x="904"/>
        <item x="1136"/>
        <item x="626"/>
        <item x="43"/>
        <item x="31"/>
        <item x="130"/>
        <item x="1134"/>
        <item x="1186"/>
        <item x="336"/>
        <item x="949"/>
        <item x="493"/>
        <item x="471"/>
        <item x="337"/>
        <item x="681"/>
        <item x="76"/>
        <item x="237"/>
        <item x="370"/>
        <item x="793"/>
        <item x="564"/>
        <item x="227"/>
        <item x="738"/>
        <item x="817"/>
        <item x="57"/>
        <item x="441"/>
        <item x="382"/>
        <item x="1159"/>
        <item x="179"/>
        <item x="1040"/>
        <item x="140"/>
        <item x="538"/>
        <item x="998"/>
        <item x="530"/>
        <item x="143"/>
        <item x="517"/>
        <item x="238"/>
        <item x="827"/>
        <item x="498"/>
        <item x="178"/>
        <item x="154"/>
        <item x="1120"/>
        <item x="790"/>
        <item x="433"/>
        <item x="1132"/>
        <item x="1041"/>
        <item x="965"/>
        <item x="860"/>
        <item x="203"/>
        <item x="252"/>
        <item x="514"/>
        <item x="383"/>
        <item x="1118"/>
        <item x="740"/>
        <item x="598"/>
        <item x="789"/>
        <item x="306"/>
        <item x="1124"/>
        <item x="401"/>
        <item x="701"/>
        <item x="501"/>
        <item x="551"/>
        <item x="1076"/>
        <item x="511"/>
        <item x="851"/>
        <item x="651"/>
        <item x="814"/>
        <item x="623"/>
        <item x="1140"/>
        <item x="751"/>
        <item x="1077"/>
        <item x="175"/>
        <item x="93"/>
        <item x="891"/>
        <item x="73"/>
        <item x="846"/>
        <item x="463"/>
        <item x="795"/>
        <item x="262"/>
        <item x="482"/>
        <item x="258"/>
        <item x="236"/>
        <item x="988"/>
        <item x="1023"/>
        <item x="225"/>
        <item x="1112"/>
        <item x="778"/>
        <item x="973"/>
        <item x="80"/>
        <item x="231"/>
        <item x="109"/>
        <item x="132"/>
        <item x="615"/>
        <item x="365"/>
        <item x="404"/>
        <item x="1122"/>
        <item x="277"/>
        <item x="595"/>
        <item x="563"/>
        <item x="961"/>
        <item x="41"/>
        <item x="915"/>
        <item x="698"/>
        <item x="1185"/>
        <item x="292"/>
        <item x="518"/>
        <item x="194"/>
        <item x="944"/>
        <item x="1154"/>
        <item x="343"/>
        <item x="355"/>
        <item x="757"/>
        <item x="115"/>
        <item x="368"/>
        <item x="869"/>
        <item x="432"/>
        <item x="992"/>
        <item x="58"/>
        <item x="387"/>
        <item x="519"/>
        <item x="849"/>
        <item x="914"/>
        <item x="573"/>
        <item x="894"/>
        <item x="650"/>
        <item x="480"/>
        <item x="1123"/>
        <item x="533"/>
        <item x="1184"/>
        <item x="609"/>
        <item x="920"/>
        <item x="53"/>
        <item x="1044"/>
        <item x="714"/>
        <item x="888"/>
        <item x="1065"/>
        <item x="494"/>
        <item x="1005"/>
        <item x="732"/>
        <item x="1109"/>
        <item x="215"/>
        <item x="908"/>
        <item x="745"/>
        <item x="802"/>
        <item x="561"/>
        <item x="172"/>
        <item x="645"/>
        <item x="100"/>
        <item x="1131"/>
        <item x="976"/>
        <item x="912"/>
        <item x="180"/>
        <item x="1030"/>
        <item x="806"/>
        <item x="9"/>
        <item x="457"/>
        <item x="356"/>
        <item x="303"/>
        <item x="177"/>
        <item x="287"/>
        <item x="141"/>
        <item x="428"/>
        <item x="882"/>
        <item x="652"/>
        <item x="1029"/>
        <item x="1166"/>
        <item x="770"/>
        <item x="932"/>
        <item x="735"/>
        <item x="741"/>
        <item x="490"/>
        <item x="1001"/>
        <item x="572"/>
        <item x="1141"/>
        <item x="398"/>
        <item x="712"/>
        <item x="736"/>
        <item x="153"/>
        <item x="1150"/>
        <item x="188"/>
        <item x="669"/>
        <item x="176"/>
        <item x="282"/>
        <item x="1042"/>
        <item x="83"/>
        <item x="199"/>
        <item x="857"/>
        <item x="406"/>
        <item x="308"/>
        <item x="46"/>
        <item x="1022"/>
        <item x="151"/>
        <item x="1036"/>
        <item x="574"/>
        <item x="1194"/>
        <item x="82"/>
        <item x="640"/>
        <item x="89"/>
        <item x="540"/>
        <item x="614"/>
        <item x="34"/>
        <item x="1119"/>
        <item x="837"/>
        <item x="587"/>
        <item x="637"/>
        <item x="962"/>
        <item x="1075"/>
        <item x="725"/>
        <item x="341"/>
        <item x="265"/>
        <item x="489"/>
        <item x="266"/>
        <item x="559"/>
        <item x="72"/>
        <item x="359"/>
        <item x="804"/>
        <item x="687"/>
        <item x="59"/>
        <item x="910"/>
        <item x="620"/>
        <item x="800"/>
        <item x="816"/>
        <item x="173"/>
        <item x="358"/>
        <item x="831"/>
        <item x="797"/>
        <item x="485"/>
        <item x="310"/>
        <item x="990"/>
        <item x="456"/>
        <item x="91"/>
        <item x="566"/>
        <item x="597"/>
        <item x="114"/>
        <item x="4"/>
        <item x="344"/>
        <item x="922"/>
        <item x="557"/>
        <item x="118"/>
        <item x="120"/>
        <item x="548"/>
        <item x="1092"/>
        <item x="606"/>
        <item x="1139"/>
        <item x="499"/>
        <item x="389"/>
        <item x="445"/>
        <item x="281"/>
        <item x="464"/>
        <item x="586"/>
        <item x="983"/>
        <item x="1174"/>
        <item x="1089"/>
        <item x="974"/>
        <item x="706"/>
        <item x="339"/>
        <item x="682"/>
        <item x="822"/>
        <item x="280"/>
        <item x="286"/>
        <item x="780"/>
        <item x="522"/>
        <item x="393"/>
        <item x="960"/>
        <item x="169"/>
        <item x="268"/>
        <item x="693"/>
        <item x="251"/>
        <item x="163"/>
        <item x="32"/>
        <item x="864"/>
        <item x="768"/>
        <item x="607"/>
        <item x="422"/>
        <item x="1071"/>
        <item x="2"/>
        <item x="470"/>
        <item x="1151"/>
        <item x="222"/>
        <item x="1082"/>
        <item x="221"/>
        <item x="1137"/>
        <item x="1148"/>
        <item x="388"/>
        <item x="627"/>
        <item x="997"/>
        <item x="880"/>
        <item x="577"/>
        <item x="0"/>
        <item x="815"/>
        <item x="510"/>
        <item x="913"/>
        <item x="730"/>
        <item x="632"/>
        <item x="491"/>
        <item x="873"/>
        <item x="449"/>
        <item x="240"/>
        <item x="97"/>
        <item x="819"/>
        <item x="10"/>
        <item x="763"/>
        <item x="363"/>
        <item x="1074"/>
        <item x="295"/>
        <item x="964"/>
        <item x="220"/>
        <item x="86"/>
        <item x="954"/>
        <item x="801"/>
        <item x="539"/>
        <item x="886"/>
        <item x="767"/>
        <item x="526"/>
        <item x="836"/>
        <item x="366"/>
        <item x="360"/>
        <item x="462"/>
        <item x="1026"/>
        <item x="1060"/>
        <item x="325"/>
        <item x="107"/>
        <item x="327"/>
        <item x="468"/>
        <item x="631"/>
        <item x="1117"/>
        <item x="788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7"/>
  </rowFields>
  <rowItems count="5">
    <i>
      <x/>
    </i>
    <i>
      <x v="1"/>
    </i>
    <i>
      <x v="2"/>
    </i>
    <i>
      <x v="3"/>
    </i>
    <i>
      <x v="4"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Average Total Price" fld="13" subtotal="average" baseField="14" baseItem="0"/>
    <dataField name="% of" fld="0" subtotal="count" showDataAs="percentOfTotal" baseField="8" baseItem="0" numFmtId="10"/>
    <dataField name="Sum of TotalPrice" fld="13" baseField="0" baseItem="0"/>
    <dataField name="Count of OrderID" fld="0" subtotal="count" baseField="14" baseItem="1"/>
    <dataField name="Average of Quantity" fld="4" subtotal="average" baseField="14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9F2FC7-3AAB-43FD-84C5-145A47CF4397}" name="PivotTable13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rowHeaderCaption="Referrals">
  <location ref="A29:F34" firstHeaderRow="0" firstDataRow="1" firstDataCol="1"/>
  <pivotFields count="15">
    <pivotField dataField="1" showAll="0"/>
    <pivotField numFmtId="1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showAll="0"/>
    <pivotField dataField="1" showAll="0"/>
    <pivotField showAll="0"/>
    <pivotField showAll="0"/>
    <pivotField showAll="0">
      <items count="6">
        <item x="4"/>
        <item x="2"/>
        <item x="0"/>
        <item x="3"/>
        <item x="1"/>
        <item t="default"/>
      </items>
    </pivotField>
    <pivotField showAll="0">
      <items count="6">
        <item x="1"/>
        <item x="3"/>
        <item x="4"/>
        <item x="2"/>
        <item x="0"/>
        <item t="default"/>
      </items>
    </pivotField>
    <pivotField showAll="0"/>
    <pivotField showAll="0"/>
    <pivotField showAll="0"/>
    <pivotField axis="axisRow" showAll="0">
      <items count="6">
        <item x="2"/>
        <item x="3"/>
        <item x="4"/>
        <item x="0"/>
        <item x="1"/>
        <item t="default"/>
      </items>
    </pivotField>
    <pivotField dataField="1" showAll="0">
      <items count="1196">
        <item x="1156"/>
        <item x="862"/>
        <item x="239"/>
        <item x="541"/>
        <item x="335"/>
        <item x="775"/>
        <item x="1020"/>
        <item x="689"/>
        <item x="923"/>
        <item x="472"/>
        <item x="49"/>
        <item x="302"/>
        <item x="487"/>
        <item x="1039"/>
        <item x="759"/>
        <item x="1073"/>
        <item x="136"/>
        <item x="466"/>
        <item x="192"/>
        <item x="67"/>
        <item x="713"/>
        <item x="430"/>
        <item x="1015"/>
        <item x="556"/>
        <item x="810"/>
        <item x="250"/>
        <item x="628"/>
        <item x="483"/>
        <item x="773"/>
        <item x="903"/>
        <item x="350"/>
        <item x="234"/>
        <item x="291"/>
        <item x="799"/>
        <item x="1173"/>
        <item x="571"/>
        <item x="1079"/>
        <item x="599"/>
        <item x="662"/>
        <item x="392"/>
        <item x="451"/>
        <item x="828"/>
        <item x="981"/>
        <item x="410"/>
        <item x="386"/>
        <item x="928"/>
        <item x="531"/>
        <item x="128"/>
        <item x="131"/>
        <item x="62"/>
        <item x="1024"/>
        <item x="505"/>
        <item x="969"/>
        <item x="554"/>
        <item x="657"/>
        <item x="702"/>
        <item x="525"/>
        <item x="385"/>
        <item x="721"/>
        <item x="613"/>
        <item x="603"/>
        <item x="704"/>
        <item x="22"/>
        <item x="478"/>
        <item x="601"/>
        <item x="972"/>
        <item x="1190"/>
        <item x="709"/>
        <item x="349"/>
        <item x="453"/>
        <item x="1153"/>
        <item x="676"/>
        <item x="833"/>
        <item x="305"/>
        <item x="423"/>
        <item x="412"/>
        <item x="1007"/>
        <item x="550"/>
        <item x="703"/>
        <item x="206"/>
        <item x="1078"/>
        <item x="600"/>
        <item x="1102"/>
        <item x="1172"/>
        <item x="249"/>
        <item x="274"/>
        <item x="950"/>
        <item x="731"/>
        <item x="1046"/>
        <item x="562"/>
        <item x="1063"/>
        <item x="443"/>
        <item x="711"/>
        <item x="135"/>
        <item x="630"/>
        <item x="442"/>
        <item x="683"/>
        <item x="102"/>
        <item x="459"/>
        <item x="929"/>
        <item x="438"/>
        <item x="1002"/>
        <item x="1130"/>
        <item x="11"/>
        <item x="322"/>
        <item x="1116"/>
        <item x="760"/>
        <item x="523"/>
        <item x="1129"/>
        <item x="37"/>
        <item x="680"/>
        <item x="756"/>
        <item x="545"/>
        <item x="543"/>
        <item x="685"/>
        <item x="426"/>
        <item x="48"/>
        <item x="33"/>
        <item x="1181"/>
        <item x="722"/>
        <item x="278"/>
        <item x="340"/>
        <item x="230"/>
        <item x="506"/>
        <item x="784"/>
        <item x="734"/>
        <item x="692"/>
        <item x="830"/>
        <item x="835"/>
        <item x="50"/>
        <item x="450"/>
        <item x="414"/>
        <item x="1162"/>
        <item x="699"/>
        <item x="477"/>
        <item x="1095"/>
        <item x="634"/>
        <item x="380"/>
        <item x="92"/>
        <item x="1115"/>
        <item x="544"/>
        <item x="161"/>
        <item x="403"/>
        <item x="332"/>
        <item x="99"/>
        <item x="1179"/>
        <item x="534"/>
        <item x="257"/>
        <item x="1168"/>
        <item x="977"/>
        <item x="184"/>
        <item x="150"/>
        <item x="747"/>
        <item x="323"/>
        <item x="570"/>
        <item x="149"/>
        <item x="110"/>
        <item x="1069"/>
        <item x="244"/>
        <item x="785"/>
        <item x="991"/>
        <item x="933"/>
        <item x="761"/>
        <item x="684"/>
        <item x="720"/>
        <item x="108"/>
        <item x="982"/>
        <item x="38"/>
        <item x="229"/>
        <item x="193"/>
        <item x="1032"/>
        <item x="1094"/>
        <item x="461"/>
        <item x="1105"/>
        <item x="670"/>
        <item x="171"/>
        <item x="668"/>
        <item x="924"/>
        <item x="165"/>
        <item x="717"/>
        <item x="376"/>
        <item x="254"/>
        <item x="405"/>
        <item x="654"/>
        <item x="211"/>
        <item x="1054"/>
        <item x="185"/>
        <item x="584"/>
        <item x="8"/>
        <item x="397"/>
        <item x="3"/>
        <item x="1170"/>
        <item x="700"/>
        <item x="416"/>
        <item x="1014"/>
        <item x="298"/>
        <item x="413"/>
        <item x="909"/>
        <item x="316"/>
        <item x="54"/>
        <item x="1178"/>
        <item x="755"/>
        <item x="959"/>
        <item x="512"/>
        <item x="425"/>
        <item x="299"/>
        <item x="956"/>
        <item x="242"/>
        <item x="1043"/>
        <item x="170"/>
        <item x="26"/>
        <item x="138"/>
        <item x="159"/>
        <item x="289"/>
        <item x="644"/>
        <item x="1"/>
        <item x="42"/>
        <item x="214"/>
        <item x="979"/>
        <item x="610"/>
        <item x="218"/>
        <item x="1104"/>
        <item x="417"/>
        <item x="369"/>
        <item x="20"/>
        <item x="455"/>
        <item x="769"/>
        <item x="45"/>
        <item x="235"/>
        <item x="447"/>
        <item x="843"/>
        <item x="953"/>
        <item x="844"/>
        <item x="776"/>
        <item x="377"/>
        <item x="783"/>
        <item x="84"/>
        <item x="158"/>
        <item x="311"/>
        <item x="686"/>
        <item x="458"/>
        <item x="439"/>
        <item x="479"/>
        <item x="496"/>
        <item x="217"/>
        <item x="284"/>
        <item x="174"/>
        <item x="1180"/>
        <item x="88"/>
        <item x="1045"/>
        <item x="656"/>
        <item x="1004"/>
        <item x="1061"/>
        <item x="1143"/>
        <item x="1107"/>
        <item x="529"/>
        <item x="1038"/>
        <item x="326"/>
        <item x="12"/>
        <item x="861"/>
        <item x="593"/>
        <item x="273"/>
        <item x="850"/>
        <item x="223"/>
        <item x="716"/>
        <item x="357"/>
        <item x="897"/>
        <item x="1182"/>
        <item x="1028"/>
        <item x="1101"/>
        <item x="578"/>
        <item x="509"/>
        <item x="655"/>
        <item x="255"/>
        <item x="374"/>
        <item x="101"/>
        <item x="1138"/>
        <item x="394"/>
        <item x="708"/>
        <item x="51"/>
        <item x="724"/>
        <item x="832"/>
        <item x="64"/>
        <item x="1067"/>
        <item x="889"/>
        <item x="575"/>
        <item x="1167"/>
        <item x="309"/>
        <item x="134"/>
        <item x="25"/>
        <item x="460"/>
        <item x="807"/>
        <item x="160"/>
        <item x="256"/>
        <item x="952"/>
        <item x="65"/>
        <item x="619"/>
        <item x="502"/>
        <item x="112"/>
        <item x="121"/>
        <item x="723"/>
        <item x="617"/>
        <item x="434"/>
        <item x="60"/>
        <item x="285"/>
        <item x="467"/>
        <item x="47"/>
        <item x="492"/>
        <item x="408"/>
        <item x="859"/>
        <item x="17"/>
        <item x="596"/>
        <item x="155"/>
        <item x="641"/>
        <item x="396"/>
        <item x="1057"/>
        <item x="1171"/>
        <item x="168"/>
        <item x="975"/>
        <item x="18"/>
        <item x="465"/>
        <item x="418"/>
        <item x="263"/>
        <item x="241"/>
        <item x="782"/>
        <item x="642"/>
        <item x="918"/>
        <item x="85"/>
        <item x="966"/>
        <item x="145"/>
        <item x="246"/>
        <item x="893"/>
        <item x="204"/>
        <item x="902"/>
        <item x="744"/>
        <item x="317"/>
        <item x="488"/>
        <item x="1157"/>
        <item x="429"/>
        <item x="419"/>
        <item x="1064"/>
        <item x="74"/>
        <item x="276"/>
        <item x="98"/>
        <item x="604"/>
        <item x="314"/>
        <item x="898"/>
        <item x="883"/>
        <item x="612"/>
        <item x="24"/>
        <item x="794"/>
        <item x="582"/>
        <item x="892"/>
        <item x="348"/>
        <item x="96"/>
        <item x="666"/>
        <item x="95"/>
        <item x="558"/>
        <item x="338"/>
        <item x="27"/>
        <item x="15"/>
        <item x="696"/>
        <item x="729"/>
        <item x="895"/>
        <item x="955"/>
        <item x="1176"/>
        <item x="272"/>
        <item x="726"/>
        <item x="931"/>
        <item x="821"/>
        <item x="939"/>
        <item x="752"/>
        <item x="994"/>
        <item x="1096"/>
        <item x="444"/>
        <item x="61"/>
        <item x="677"/>
        <item x="592"/>
        <item x="863"/>
        <item x="5"/>
        <item x="515"/>
        <item x="137"/>
        <item x="694"/>
        <item x="667"/>
        <item x="996"/>
        <item x="476"/>
        <item x="304"/>
        <item x="1066"/>
        <item x="811"/>
        <item x="579"/>
        <item x="436"/>
        <item x="884"/>
        <item x="521"/>
        <item x="748"/>
        <item x="633"/>
        <item x="746"/>
        <item x="585"/>
        <item x="874"/>
        <item x="1164"/>
        <item x="342"/>
        <item x="520"/>
        <item x="638"/>
        <item x="497"/>
        <item x="94"/>
        <item x="1047"/>
        <item x="618"/>
        <item x="885"/>
        <item x="117"/>
        <item x="1035"/>
        <item x="294"/>
        <item x="400"/>
        <item x="156"/>
        <item x="1155"/>
        <item x="270"/>
        <item x="248"/>
        <item x="1055"/>
        <item x="978"/>
        <item x="1013"/>
        <item x="879"/>
        <item x="946"/>
        <item x="616"/>
        <item x="809"/>
        <item x="105"/>
        <item x="765"/>
        <item x="507"/>
        <item x="938"/>
        <item x="228"/>
        <item x="63"/>
        <item x="532"/>
        <item x="1189"/>
        <item x="362"/>
        <item x="762"/>
        <item x="866"/>
        <item x="373"/>
        <item x="264"/>
        <item x="742"/>
        <item x="420"/>
        <item x="583"/>
        <item x="940"/>
        <item x="210"/>
        <item x="749"/>
        <item x="104"/>
        <item x="77"/>
        <item x="906"/>
        <item x="139"/>
        <item x="300"/>
        <item x="52"/>
        <item x="855"/>
        <item x="813"/>
        <item x="186"/>
        <item x="838"/>
        <item x="167"/>
        <item x="293"/>
        <item x="881"/>
        <item x="1149"/>
        <item x="947"/>
        <item x="934"/>
        <item x="1034"/>
        <item x="181"/>
        <item x="958"/>
        <item x="495"/>
        <item x="424"/>
        <item x="13"/>
        <item x="695"/>
        <item x="771"/>
        <item x="590"/>
        <item x="320"/>
        <item x="313"/>
        <item x="948"/>
        <item x="591"/>
        <item x="546"/>
        <item x="535"/>
        <item x="334"/>
        <item x="1027"/>
        <item x="402"/>
        <item x="79"/>
        <item x="198"/>
        <item x="331"/>
        <item x="319"/>
        <item x="911"/>
        <item x="967"/>
        <item x="391"/>
        <item x="580"/>
        <item x="1086"/>
        <item x="527"/>
        <item x="70"/>
        <item x="352"/>
        <item x="1062"/>
        <item x="212"/>
        <item x="1103"/>
        <item x="243"/>
        <item x="66"/>
        <item x="148"/>
        <item x="454"/>
        <item x="28"/>
        <item x="399"/>
        <item x="1058"/>
        <item x="162"/>
        <item x="288"/>
        <item x="719"/>
        <item x="191"/>
        <item x="766"/>
        <item x="896"/>
        <item x="1125"/>
        <item x="565"/>
        <item x="555"/>
        <item x="345"/>
        <item x="602"/>
        <item x="440"/>
        <item x="1056"/>
        <item x="1049"/>
        <item x="875"/>
        <item x="1163"/>
        <item x="6"/>
        <item x="411"/>
        <item x="707"/>
        <item x="872"/>
        <item x="1169"/>
        <item x="552"/>
        <item x="524"/>
        <item x="247"/>
        <item x="189"/>
        <item x="1160"/>
        <item x="1110"/>
        <item x="624"/>
        <item x="1127"/>
        <item x="87"/>
        <item x="452"/>
        <item x="1021"/>
        <item x="890"/>
        <item x="364"/>
        <item x="834"/>
        <item x="245"/>
        <item x="1114"/>
        <item x="1188"/>
        <item x="567"/>
        <item x="473"/>
        <item x="40"/>
        <item x="1147"/>
        <item x="290"/>
        <item x="353"/>
        <item x="1126"/>
        <item x="820"/>
        <item x="1010"/>
        <item x="78"/>
        <item x="803"/>
        <item x="791"/>
        <item x="690"/>
        <item x="845"/>
        <item x="899"/>
        <item x="569"/>
        <item x="187"/>
        <item x="90"/>
        <item x="226"/>
        <item x="643"/>
        <item x="779"/>
        <item x="925"/>
        <item x="576"/>
        <item x="536"/>
        <item x="1183"/>
        <item x="649"/>
        <item x="728"/>
        <item x="672"/>
        <item x="219"/>
        <item x="7"/>
        <item x="916"/>
        <item x="1113"/>
        <item x="739"/>
        <item x="448"/>
        <item x="201"/>
        <item x="829"/>
        <item x="166"/>
        <item x="39"/>
        <item x="594"/>
        <item x="856"/>
        <item x="697"/>
        <item x="663"/>
        <item x="14"/>
        <item x="930"/>
        <item x="81"/>
        <item x="1088"/>
        <item x="253"/>
        <item x="516"/>
        <item x="1059"/>
        <item x="818"/>
        <item x="152"/>
        <item x="271"/>
        <item x="989"/>
        <item x="943"/>
        <item x="367"/>
        <item x="500"/>
        <item x="259"/>
        <item x="207"/>
        <item x="1037"/>
        <item x="224"/>
        <item x="146"/>
        <item x="605"/>
        <item x="1053"/>
        <item x="421"/>
        <item x="361"/>
        <item x="446"/>
        <item x="123"/>
        <item x="987"/>
        <item x="1108"/>
        <item x="1177"/>
        <item x="675"/>
        <item x="267"/>
        <item x="431"/>
        <item x="508"/>
        <item x="792"/>
        <item x="941"/>
        <item x="30"/>
        <item x="917"/>
        <item x="848"/>
        <item x="183"/>
        <item x="260"/>
        <item x="195"/>
        <item x="312"/>
        <item x="351"/>
        <item x="504"/>
        <item x="1192"/>
        <item x="103"/>
        <item x="474"/>
        <item x="796"/>
        <item x="1090"/>
        <item x="435"/>
        <item x="840"/>
        <item x="786"/>
        <item x="688"/>
        <item x="378"/>
        <item x="878"/>
        <item x="733"/>
        <item x="333"/>
        <item x="753"/>
        <item x="1152"/>
        <item x="927"/>
        <item x="513"/>
        <item x="1072"/>
        <item x="549"/>
        <item x="205"/>
        <item x="1158"/>
        <item x="589"/>
        <item x="743"/>
        <item x="758"/>
        <item x="664"/>
        <item x="907"/>
        <item x="111"/>
        <item x="503"/>
        <item x="1091"/>
        <item x="35"/>
        <item x="147"/>
        <item x="182"/>
        <item x="232"/>
        <item x="877"/>
        <item x="1128"/>
        <item x="1106"/>
        <item x="208"/>
        <item x="233"/>
        <item x="1016"/>
        <item x="865"/>
        <item x="901"/>
        <item x="113"/>
        <item x="1121"/>
        <item x="710"/>
        <item x="1006"/>
        <item x="384"/>
        <item x="737"/>
        <item x="1051"/>
        <item x="870"/>
        <item x="1161"/>
        <item x="190"/>
        <item x="871"/>
        <item x="1025"/>
        <item x="691"/>
        <item x="986"/>
        <item x="553"/>
        <item x="781"/>
        <item x="777"/>
        <item x="999"/>
        <item x="296"/>
        <item x="560"/>
        <item x="1048"/>
        <item x="935"/>
        <item x="261"/>
        <item x="164"/>
        <item x="588"/>
        <item x="375"/>
        <item x="754"/>
        <item x="646"/>
        <item x="1093"/>
        <item x="372"/>
        <item x="772"/>
        <item x="125"/>
        <item x="674"/>
        <item x="1081"/>
        <item x="475"/>
        <item x="55"/>
        <item x="409"/>
        <item x="486"/>
        <item x="283"/>
        <item x="936"/>
        <item x="1087"/>
        <item x="1193"/>
        <item x="427"/>
        <item x="381"/>
        <item x="469"/>
        <item x="390"/>
        <item x="129"/>
        <item x="346"/>
        <item x="1111"/>
        <item x="122"/>
        <item x="16"/>
        <item x="868"/>
        <item x="36"/>
        <item x="119"/>
        <item x="764"/>
        <item x="202"/>
        <item x="926"/>
        <item x="209"/>
        <item x="347"/>
        <item x="678"/>
        <item x="324"/>
        <item x="808"/>
        <item x="1033"/>
        <item x="841"/>
        <item x="23"/>
        <item x="876"/>
        <item x="144"/>
        <item x="1050"/>
        <item x="44"/>
        <item x="315"/>
        <item x="126"/>
        <item x="1019"/>
        <item x="1070"/>
        <item x="1098"/>
        <item x="1135"/>
        <item x="196"/>
        <item x="853"/>
        <item x="19"/>
        <item x="318"/>
        <item x="919"/>
        <item x="157"/>
        <item x="1009"/>
        <item x="328"/>
        <item x="124"/>
        <item x="957"/>
        <item x="705"/>
        <item x="481"/>
        <item x="653"/>
        <item x="647"/>
        <item x="970"/>
        <item x="321"/>
        <item x="116"/>
        <item x="1018"/>
        <item x="639"/>
        <item x="1142"/>
        <item x="1133"/>
        <item x="1000"/>
        <item x="621"/>
        <item x="980"/>
        <item x="622"/>
        <item x="945"/>
        <item x="1175"/>
        <item x="75"/>
        <item x="1084"/>
        <item x="750"/>
        <item x="275"/>
        <item x="1008"/>
        <item x="787"/>
        <item x="854"/>
        <item x="297"/>
        <item x="133"/>
        <item x="968"/>
        <item x="1145"/>
        <item x="279"/>
        <item x="484"/>
        <item x="1146"/>
        <item x="937"/>
        <item x="213"/>
        <item x="636"/>
        <item x="1003"/>
        <item x="839"/>
        <item x="407"/>
        <item x="269"/>
        <item x="1031"/>
        <item x="629"/>
        <item x="671"/>
        <item x="774"/>
        <item x="568"/>
        <item x="1099"/>
        <item x="985"/>
        <item x="867"/>
        <item x="330"/>
        <item x="805"/>
        <item x="29"/>
        <item x="660"/>
        <item x="547"/>
        <item x="826"/>
        <item x="658"/>
        <item x="648"/>
        <item x="216"/>
        <item x="1052"/>
        <item x="415"/>
        <item x="842"/>
        <item x="847"/>
        <item x="1080"/>
        <item x="1187"/>
        <item x="354"/>
        <item x="1085"/>
        <item x="329"/>
        <item x="727"/>
        <item x="659"/>
        <item x="71"/>
        <item x="995"/>
        <item x="858"/>
        <item x="665"/>
        <item x="798"/>
        <item x="625"/>
        <item x="661"/>
        <item x="887"/>
        <item x="1191"/>
        <item x="379"/>
        <item x="951"/>
        <item x="971"/>
        <item x="993"/>
        <item x="611"/>
        <item x="921"/>
        <item x="1011"/>
        <item x="307"/>
        <item x="608"/>
        <item x="542"/>
        <item x="200"/>
        <item x="528"/>
        <item x="1017"/>
        <item x="824"/>
        <item x="197"/>
        <item x="1012"/>
        <item x="718"/>
        <item x="715"/>
        <item x="142"/>
        <item x="21"/>
        <item x="437"/>
        <item x="942"/>
        <item x="1097"/>
        <item x="679"/>
        <item x="1144"/>
        <item x="825"/>
        <item x="1165"/>
        <item x="106"/>
        <item x="905"/>
        <item x="963"/>
        <item x="301"/>
        <item x="127"/>
        <item x="984"/>
        <item x="900"/>
        <item x="581"/>
        <item x="1100"/>
        <item x="673"/>
        <item x="395"/>
        <item x="69"/>
        <item x="56"/>
        <item x="823"/>
        <item x="1068"/>
        <item x="371"/>
        <item x="812"/>
        <item x="852"/>
        <item x="537"/>
        <item x="68"/>
        <item x="1083"/>
        <item x="635"/>
        <item x="904"/>
        <item x="1136"/>
        <item x="626"/>
        <item x="43"/>
        <item x="31"/>
        <item x="130"/>
        <item x="1134"/>
        <item x="1186"/>
        <item x="336"/>
        <item x="949"/>
        <item x="493"/>
        <item x="471"/>
        <item x="337"/>
        <item x="681"/>
        <item x="76"/>
        <item x="237"/>
        <item x="370"/>
        <item x="793"/>
        <item x="564"/>
        <item x="227"/>
        <item x="738"/>
        <item x="817"/>
        <item x="57"/>
        <item x="441"/>
        <item x="382"/>
        <item x="1159"/>
        <item x="179"/>
        <item x="1040"/>
        <item x="140"/>
        <item x="538"/>
        <item x="998"/>
        <item x="530"/>
        <item x="143"/>
        <item x="517"/>
        <item x="238"/>
        <item x="827"/>
        <item x="498"/>
        <item x="178"/>
        <item x="154"/>
        <item x="1120"/>
        <item x="790"/>
        <item x="433"/>
        <item x="1132"/>
        <item x="1041"/>
        <item x="965"/>
        <item x="860"/>
        <item x="203"/>
        <item x="252"/>
        <item x="514"/>
        <item x="383"/>
        <item x="1118"/>
        <item x="740"/>
        <item x="598"/>
        <item x="789"/>
        <item x="306"/>
        <item x="1124"/>
        <item x="401"/>
        <item x="701"/>
        <item x="501"/>
        <item x="551"/>
        <item x="1076"/>
        <item x="511"/>
        <item x="851"/>
        <item x="651"/>
        <item x="814"/>
        <item x="623"/>
        <item x="1140"/>
        <item x="751"/>
        <item x="1077"/>
        <item x="175"/>
        <item x="93"/>
        <item x="891"/>
        <item x="73"/>
        <item x="846"/>
        <item x="463"/>
        <item x="795"/>
        <item x="262"/>
        <item x="482"/>
        <item x="258"/>
        <item x="236"/>
        <item x="988"/>
        <item x="1023"/>
        <item x="225"/>
        <item x="1112"/>
        <item x="778"/>
        <item x="973"/>
        <item x="80"/>
        <item x="231"/>
        <item x="109"/>
        <item x="132"/>
        <item x="615"/>
        <item x="365"/>
        <item x="404"/>
        <item x="1122"/>
        <item x="277"/>
        <item x="595"/>
        <item x="563"/>
        <item x="961"/>
        <item x="41"/>
        <item x="915"/>
        <item x="698"/>
        <item x="1185"/>
        <item x="292"/>
        <item x="518"/>
        <item x="194"/>
        <item x="944"/>
        <item x="1154"/>
        <item x="343"/>
        <item x="355"/>
        <item x="757"/>
        <item x="115"/>
        <item x="368"/>
        <item x="869"/>
        <item x="432"/>
        <item x="992"/>
        <item x="58"/>
        <item x="387"/>
        <item x="519"/>
        <item x="849"/>
        <item x="914"/>
        <item x="573"/>
        <item x="894"/>
        <item x="650"/>
        <item x="480"/>
        <item x="1123"/>
        <item x="533"/>
        <item x="1184"/>
        <item x="609"/>
        <item x="920"/>
        <item x="53"/>
        <item x="1044"/>
        <item x="714"/>
        <item x="888"/>
        <item x="1065"/>
        <item x="494"/>
        <item x="1005"/>
        <item x="732"/>
        <item x="1109"/>
        <item x="215"/>
        <item x="908"/>
        <item x="745"/>
        <item x="802"/>
        <item x="561"/>
        <item x="172"/>
        <item x="645"/>
        <item x="100"/>
        <item x="1131"/>
        <item x="976"/>
        <item x="912"/>
        <item x="180"/>
        <item x="1030"/>
        <item x="806"/>
        <item x="9"/>
        <item x="457"/>
        <item x="356"/>
        <item x="303"/>
        <item x="177"/>
        <item x="287"/>
        <item x="141"/>
        <item x="428"/>
        <item x="882"/>
        <item x="652"/>
        <item x="1029"/>
        <item x="1166"/>
        <item x="770"/>
        <item x="932"/>
        <item x="735"/>
        <item x="741"/>
        <item x="490"/>
        <item x="1001"/>
        <item x="572"/>
        <item x="1141"/>
        <item x="398"/>
        <item x="712"/>
        <item x="736"/>
        <item x="153"/>
        <item x="1150"/>
        <item x="188"/>
        <item x="669"/>
        <item x="176"/>
        <item x="282"/>
        <item x="1042"/>
        <item x="83"/>
        <item x="199"/>
        <item x="857"/>
        <item x="406"/>
        <item x="308"/>
        <item x="46"/>
        <item x="1022"/>
        <item x="151"/>
        <item x="1036"/>
        <item x="574"/>
        <item x="1194"/>
        <item x="82"/>
        <item x="640"/>
        <item x="89"/>
        <item x="540"/>
        <item x="614"/>
        <item x="34"/>
        <item x="1119"/>
        <item x="837"/>
        <item x="587"/>
        <item x="637"/>
        <item x="962"/>
        <item x="1075"/>
        <item x="725"/>
        <item x="341"/>
        <item x="265"/>
        <item x="489"/>
        <item x="266"/>
        <item x="559"/>
        <item x="72"/>
        <item x="359"/>
        <item x="804"/>
        <item x="687"/>
        <item x="59"/>
        <item x="910"/>
        <item x="620"/>
        <item x="800"/>
        <item x="816"/>
        <item x="173"/>
        <item x="358"/>
        <item x="831"/>
        <item x="797"/>
        <item x="485"/>
        <item x="310"/>
        <item x="990"/>
        <item x="456"/>
        <item x="91"/>
        <item x="566"/>
        <item x="597"/>
        <item x="114"/>
        <item x="4"/>
        <item x="344"/>
        <item x="922"/>
        <item x="557"/>
        <item x="118"/>
        <item x="120"/>
        <item x="548"/>
        <item x="1092"/>
        <item x="606"/>
        <item x="1139"/>
        <item x="499"/>
        <item x="389"/>
        <item x="445"/>
        <item x="281"/>
        <item x="464"/>
        <item x="586"/>
        <item x="983"/>
        <item x="1174"/>
        <item x="1089"/>
        <item x="974"/>
        <item x="706"/>
        <item x="339"/>
        <item x="682"/>
        <item x="822"/>
        <item x="280"/>
        <item x="286"/>
        <item x="780"/>
        <item x="522"/>
        <item x="393"/>
        <item x="960"/>
        <item x="169"/>
        <item x="268"/>
        <item x="693"/>
        <item x="251"/>
        <item x="163"/>
        <item x="32"/>
        <item x="864"/>
        <item x="768"/>
        <item x="607"/>
        <item x="422"/>
        <item x="1071"/>
        <item x="2"/>
        <item x="470"/>
        <item x="1151"/>
        <item x="222"/>
        <item x="1082"/>
        <item x="221"/>
        <item x="1137"/>
        <item x="1148"/>
        <item x="388"/>
        <item x="627"/>
        <item x="997"/>
        <item x="880"/>
        <item x="577"/>
        <item x="0"/>
        <item x="815"/>
        <item x="510"/>
        <item x="913"/>
        <item x="730"/>
        <item x="632"/>
        <item x="491"/>
        <item x="873"/>
        <item x="449"/>
        <item x="240"/>
        <item x="97"/>
        <item x="819"/>
        <item x="10"/>
        <item x="763"/>
        <item x="363"/>
        <item x="1074"/>
        <item x="295"/>
        <item x="964"/>
        <item x="220"/>
        <item x="86"/>
        <item x="954"/>
        <item x="801"/>
        <item x="539"/>
        <item x="886"/>
        <item x="767"/>
        <item x="526"/>
        <item x="836"/>
        <item x="366"/>
        <item x="360"/>
        <item x="462"/>
        <item x="1026"/>
        <item x="1060"/>
        <item x="325"/>
        <item x="107"/>
        <item x="327"/>
        <item x="468"/>
        <item x="631"/>
        <item x="1117"/>
        <item x="788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12"/>
  </rowFields>
  <rowItems count="5">
    <i>
      <x/>
    </i>
    <i>
      <x v="1"/>
    </i>
    <i>
      <x v="2"/>
    </i>
    <i>
      <x v="3"/>
    </i>
    <i>
      <x v="4"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Average Total Price" fld="13" subtotal="average" baseField="14" baseItem="0"/>
    <dataField name="% of" fld="0" subtotal="count" showDataAs="percentOfTotal" baseField="8" baseItem="0" numFmtId="10"/>
    <dataField name="Sum of TotalPrice" fld="13" baseField="0" baseItem="0"/>
    <dataField name="Count of OrderID" fld="0" subtotal="count" baseField="14" baseItem="1"/>
    <dataField name="Average of Quantity" fld="4" subtotal="average" baseField="14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AC5DA5-4050-40B4-B2CF-4D716EFAC11D}" name="PivotTable15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rowHeaderCaption="Referrals">
  <location ref="A37:F44" firstHeaderRow="0" firstDataRow="1" firstDataCol="1"/>
  <pivotFields count="15">
    <pivotField dataField="1" showAll="0"/>
    <pivotField numFmtId="1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axis="axisRow" showAll="0">
      <items count="8">
        <item x="3"/>
        <item x="6"/>
        <item x="5"/>
        <item x="0"/>
        <item x="1"/>
        <item x="4"/>
        <item x="2"/>
        <item t="default"/>
      </items>
    </pivotField>
    <pivotField dataField="1" showAll="0"/>
    <pivotField showAll="0"/>
    <pivotField showAll="0"/>
    <pivotField showAll="0">
      <items count="6">
        <item x="4"/>
        <item x="2"/>
        <item x="0"/>
        <item x="3"/>
        <item x="1"/>
        <item t="default"/>
      </items>
    </pivotField>
    <pivotField showAll="0">
      <items count="6">
        <item x="1"/>
        <item x="3"/>
        <item x="4"/>
        <item x="2"/>
        <item x="0"/>
        <item t="default"/>
      </items>
    </pivotField>
    <pivotField showAll="0"/>
    <pivotField showAll="0"/>
    <pivotField showAll="0"/>
    <pivotField showAll="0">
      <items count="6">
        <item x="2"/>
        <item x="3"/>
        <item x="4"/>
        <item x="0"/>
        <item x="1"/>
        <item t="default"/>
      </items>
    </pivotField>
    <pivotField dataField="1" showAll="0">
      <items count="1196">
        <item x="1156"/>
        <item x="862"/>
        <item x="239"/>
        <item x="541"/>
        <item x="335"/>
        <item x="775"/>
        <item x="1020"/>
        <item x="689"/>
        <item x="923"/>
        <item x="472"/>
        <item x="49"/>
        <item x="302"/>
        <item x="487"/>
        <item x="1039"/>
        <item x="759"/>
        <item x="1073"/>
        <item x="136"/>
        <item x="466"/>
        <item x="192"/>
        <item x="67"/>
        <item x="713"/>
        <item x="430"/>
        <item x="1015"/>
        <item x="556"/>
        <item x="810"/>
        <item x="250"/>
        <item x="628"/>
        <item x="483"/>
        <item x="773"/>
        <item x="903"/>
        <item x="350"/>
        <item x="234"/>
        <item x="291"/>
        <item x="799"/>
        <item x="1173"/>
        <item x="571"/>
        <item x="1079"/>
        <item x="599"/>
        <item x="662"/>
        <item x="392"/>
        <item x="451"/>
        <item x="828"/>
        <item x="981"/>
        <item x="410"/>
        <item x="386"/>
        <item x="928"/>
        <item x="531"/>
        <item x="128"/>
        <item x="131"/>
        <item x="62"/>
        <item x="1024"/>
        <item x="505"/>
        <item x="969"/>
        <item x="554"/>
        <item x="657"/>
        <item x="702"/>
        <item x="525"/>
        <item x="385"/>
        <item x="721"/>
        <item x="613"/>
        <item x="603"/>
        <item x="704"/>
        <item x="22"/>
        <item x="478"/>
        <item x="601"/>
        <item x="972"/>
        <item x="1190"/>
        <item x="709"/>
        <item x="349"/>
        <item x="453"/>
        <item x="1153"/>
        <item x="676"/>
        <item x="833"/>
        <item x="305"/>
        <item x="423"/>
        <item x="412"/>
        <item x="1007"/>
        <item x="550"/>
        <item x="703"/>
        <item x="206"/>
        <item x="1078"/>
        <item x="600"/>
        <item x="1102"/>
        <item x="1172"/>
        <item x="249"/>
        <item x="274"/>
        <item x="950"/>
        <item x="731"/>
        <item x="1046"/>
        <item x="562"/>
        <item x="1063"/>
        <item x="443"/>
        <item x="711"/>
        <item x="135"/>
        <item x="630"/>
        <item x="442"/>
        <item x="683"/>
        <item x="102"/>
        <item x="459"/>
        <item x="929"/>
        <item x="438"/>
        <item x="1002"/>
        <item x="1130"/>
        <item x="11"/>
        <item x="322"/>
        <item x="1116"/>
        <item x="760"/>
        <item x="523"/>
        <item x="1129"/>
        <item x="37"/>
        <item x="680"/>
        <item x="756"/>
        <item x="545"/>
        <item x="543"/>
        <item x="685"/>
        <item x="426"/>
        <item x="48"/>
        <item x="33"/>
        <item x="1181"/>
        <item x="722"/>
        <item x="278"/>
        <item x="340"/>
        <item x="230"/>
        <item x="506"/>
        <item x="784"/>
        <item x="734"/>
        <item x="692"/>
        <item x="830"/>
        <item x="835"/>
        <item x="50"/>
        <item x="450"/>
        <item x="414"/>
        <item x="1162"/>
        <item x="699"/>
        <item x="477"/>
        <item x="1095"/>
        <item x="634"/>
        <item x="380"/>
        <item x="92"/>
        <item x="1115"/>
        <item x="544"/>
        <item x="161"/>
        <item x="403"/>
        <item x="332"/>
        <item x="99"/>
        <item x="1179"/>
        <item x="534"/>
        <item x="257"/>
        <item x="1168"/>
        <item x="977"/>
        <item x="184"/>
        <item x="150"/>
        <item x="747"/>
        <item x="323"/>
        <item x="570"/>
        <item x="149"/>
        <item x="110"/>
        <item x="1069"/>
        <item x="244"/>
        <item x="785"/>
        <item x="991"/>
        <item x="933"/>
        <item x="761"/>
        <item x="684"/>
        <item x="720"/>
        <item x="108"/>
        <item x="982"/>
        <item x="38"/>
        <item x="229"/>
        <item x="193"/>
        <item x="1032"/>
        <item x="1094"/>
        <item x="461"/>
        <item x="1105"/>
        <item x="670"/>
        <item x="171"/>
        <item x="668"/>
        <item x="924"/>
        <item x="165"/>
        <item x="717"/>
        <item x="376"/>
        <item x="254"/>
        <item x="405"/>
        <item x="654"/>
        <item x="211"/>
        <item x="1054"/>
        <item x="185"/>
        <item x="584"/>
        <item x="8"/>
        <item x="397"/>
        <item x="3"/>
        <item x="1170"/>
        <item x="700"/>
        <item x="416"/>
        <item x="1014"/>
        <item x="298"/>
        <item x="413"/>
        <item x="909"/>
        <item x="316"/>
        <item x="54"/>
        <item x="1178"/>
        <item x="755"/>
        <item x="959"/>
        <item x="512"/>
        <item x="425"/>
        <item x="299"/>
        <item x="956"/>
        <item x="242"/>
        <item x="1043"/>
        <item x="170"/>
        <item x="26"/>
        <item x="138"/>
        <item x="159"/>
        <item x="289"/>
        <item x="644"/>
        <item x="1"/>
        <item x="42"/>
        <item x="214"/>
        <item x="979"/>
        <item x="610"/>
        <item x="218"/>
        <item x="1104"/>
        <item x="417"/>
        <item x="369"/>
        <item x="20"/>
        <item x="455"/>
        <item x="769"/>
        <item x="45"/>
        <item x="235"/>
        <item x="447"/>
        <item x="843"/>
        <item x="953"/>
        <item x="844"/>
        <item x="776"/>
        <item x="377"/>
        <item x="783"/>
        <item x="84"/>
        <item x="158"/>
        <item x="311"/>
        <item x="686"/>
        <item x="458"/>
        <item x="439"/>
        <item x="479"/>
        <item x="496"/>
        <item x="217"/>
        <item x="284"/>
        <item x="174"/>
        <item x="1180"/>
        <item x="88"/>
        <item x="1045"/>
        <item x="656"/>
        <item x="1004"/>
        <item x="1061"/>
        <item x="1143"/>
        <item x="1107"/>
        <item x="529"/>
        <item x="1038"/>
        <item x="326"/>
        <item x="12"/>
        <item x="861"/>
        <item x="593"/>
        <item x="273"/>
        <item x="850"/>
        <item x="223"/>
        <item x="716"/>
        <item x="357"/>
        <item x="897"/>
        <item x="1182"/>
        <item x="1028"/>
        <item x="1101"/>
        <item x="578"/>
        <item x="509"/>
        <item x="655"/>
        <item x="255"/>
        <item x="374"/>
        <item x="101"/>
        <item x="1138"/>
        <item x="394"/>
        <item x="708"/>
        <item x="51"/>
        <item x="724"/>
        <item x="832"/>
        <item x="64"/>
        <item x="1067"/>
        <item x="889"/>
        <item x="575"/>
        <item x="1167"/>
        <item x="309"/>
        <item x="134"/>
        <item x="25"/>
        <item x="460"/>
        <item x="807"/>
        <item x="160"/>
        <item x="256"/>
        <item x="952"/>
        <item x="65"/>
        <item x="619"/>
        <item x="502"/>
        <item x="112"/>
        <item x="121"/>
        <item x="723"/>
        <item x="617"/>
        <item x="434"/>
        <item x="60"/>
        <item x="285"/>
        <item x="467"/>
        <item x="47"/>
        <item x="492"/>
        <item x="408"/>
        <item x="859"/>
        <item x="17"/>
        <item x="596"/>
        <item x="155"/>
        <item x="641"/>
        <item x="396"/>
        <item x="1057"/>
        <item x="1171"/>
        <item x="168"/>
        <item x="975"/>
        <item x="18"/>
        <item x="465"/>
        <item x="418"/>
        <item x="263"/>
        <item x="241"/>
        <item x="782"/>
        <item x="642"/>
        <item x="918"/>
        <item x="85"/>
        <item x="966"/>
        <item x="145"/>
        <item x="246"/>
        <item x="893"/>
        <item x="204"/>
        <item x="902"/>
        <item x="744"/>
        <item x="317"/>
        <item x="488"/>
        <item x="1157"/>
        <item x="429"/>
        <item x="419"/>
        <item x="1064"/>
        <item x="74"/>
        <item x="276"/>
        <item x="98"/>
        <item x="604"/>
        <item x="314"/>
        <item x="898"/>
        <item x="883"/>
        <item x="612"/>
        <item x="24"/>
        <item x="794"/>
        <item x="582"/>
        <item x="892"/>
        <item x="348"/>
        <item x="96"/>
        <item x="666"/>
        <item x="95"/>
        <item x="558"/>
        <item x="338"/>
        <item x="27"/>
        <item x="15"/>
        <item x="696"/>
        <item x="729"/>
        <item x="895"/>
        <item x="955"/>
        <item x="1176"/>
        <item x="272"/>
        <item x="726"/>
        <item x="931"/>
        <item x="821"/>
        <item x="939"/>
        <item x="752"/>
        <item x="994"/>
        <item x="1096"/>
        <item x="444"/>
        <item x="61"/>
        <item x="677"/>
        <item x="592"/>
        <item x="863"/>
        <item x="5"/>
        <item x="515"/>
        <item x="137"/>
        <item x="694"/>
        <item x="667"/>
        <item x="996"/>
        <item x="476"/>
        <item x="304"/>
        <item x="1066"/>
        <item x="811"/>
        <item x="579"/>
        <item x="436"/>
        <item x="884"/>
        <item x="521"/>
        <item x="748"/>
        <item x="633"/>
        <item x="746"/>
        <item x="585"/>
        <item x="874"/>
        <item x="1164"/>
        <item x="342"/>
        <item x="520"/>
        <item x="638"/>
        <item x="497"/>
        <item x="94"/>
        <item x="1047"/>
        <item x="618"/>
        <item x="885"/>
        <item x="117"/>
        <item x="1035"/>
        <item x="294"/>
        <item x="400"/>
        <item x="156"/>
        <item x="1155"/>
        <item x="270"/>
        <item x="248"/>
        <item x="1055"/>
        <item x="978"/>
        <item x="1013"/>
        <item x="879"/>
        <item x="946"/>
        <item x="616"/>
        <item x="809"/>
        <item x="105"/>
        <item x="765"/>
        <item x="507"/>
        <item x="938"/>
        <item x="228"/>
        <item x="63"/>
        <item x="532"/>
        <item x="1189"/>
        <item x="362"/>
        <item x="762"/>
        <item x="866"/>
        <item x="373"/>
        <item x="264"/>
        <item x="742"/>
        <item x="420"/>
        <item x="583"/>
        <item x="940"/>
        <item x="210"/>
        <item x="749"/>
        <item x="104"/>
        <item x="77"/>
        <item x="906"/>
        <item x="139"/>
        <item x="300"/>
        <item x="52"/>
        <item x="855"/>
        <item x="813"/>
        <item x="186"/>
        <item x="838"/>
        <item x="167"/>
        <item x="293"/>
        <item x="881"/>
        <item x="1149"/>
        <item x="947"/>
        <item x="934"/>
        <item x="1034"/>
        <item x="181"/>
        <item x="958"/>
        <item x="495"/>
        <item x="424"/>
        <item x="13"/>
        <item x="695"/>
        <item x="771"/>
        <item x="590"/>
        <item x="320"/>
        <item x="313"/>
        <item x="948"/>
        <item x="591"/>
        <item x="546"/>
        <item x="535"/>
        <item x="334"/>
        <item x="1027"/>
        <item x="402"/>
        <item x="79"/>
        <item x="198"/>
        <item x="331"/>
        <item x="319"/>
        <item x="911"/>
        <item x="967"/>
        <item x="391"/>
        <item x="580"/>
        <item x="1086"/>
        <item x="527"/>
        <item x="70"/>
        <item x="352"/>
        <item x="1062"/>
        <item x="212"/>
        <item x="1103"/>
        <item x="243"/>
        <item x="66"/>
        <item x="148"/>
        <item x="454"/>
        <item x="28"/>
        <item x="399"/>
        <item x="1058"/>
        <item x="162"/>
        <item x="288"/>
        <item x="719"/>
        <item x="191"/>
        <item x="766"/>
        <item x="896"/>
        <item x="1125"/>
        <item x="565"/>
        <item x="555"/>
        <item x="345"/>
        <item x="602"/>
        <item x="440"/>
        <item x="1056"/>
        <item x="1049"/>
        <item x="875"/>
        <item x="1163"/>
        <item x="6"/>
        <item x="411"/>
        <item x="707"/>
        <item x="872"/>
        <item x="1169"/>
        <item x="552"/>
        <item x="524"/>
        <item x="247"/>
        <item x="189"/>
        <item x="1160"/>
        <item x="1110"/>
        <item x="624"/>
        <item x="1127"/>
        <item x="87"/>
        <item x="452"/>
        <item x="1021"/>
        <item x="890"/>
        <item x="364"/>
        <item x="834"/>
        <item x="245"/>
        <item x="1114"/>
        <item x="1188"/>
        <item x="567"/>
        <item x="473"/>
        <item x="40"/>
        <item x="1147"/>
        <item x="290"/>
        <item x="353"/>
        <item x="1126"/>
        <item x="820"/>
        <item x="1010"/>
        <item x="78"/>
        <item x="803"/>
        <item x="791"/>
        <item x="690"/>
        <item x="845"/>
        <item x="899"/>
        <item x="569"/>
        <item x="187"/>
        <item x="90"/>
        <item x="226"/>
        <item x="643"/>
        <item x="779"/>
        <item x="925"/>
        <item x="576"/>
        <item x="536"/>
        <item x="1183"/>
        <item x="649"/>
        <item x="728"/>
        <item x="672"/>
        <item x="219"/>
        <item x="7"/>
        <item x="916"/>
        <item x="1113"/>
        <item x="739"/>
        <item x="448"/>
        <item x="201"/>
        <item x="829"/>
        <item x="166"/>
        <item x="39"/>
        <item x="594"/>
        <item x="856"/>
        <item x="697"/>
        <item x="663"/>
        <item x="14"/>
        <item x="930"/>
        <item x="81"/>
        <item x="1088"/>
        <item x="253"/>
        <item x="516"/>
        <item x="1059"/>
        <item x="818"/>
        <item x="152"/>
        <item x="271"/>
        <item x="989"/>
        <item x="943"/>
        <item x="367"/>
        <item x="500"/>
        <item x="259"/>
        <item x="207"/>
        <item x="1037"/>
        <item x="224"/>
        <item x="146"/>
        <item x="605"/>
        <item x="1053"/>
        <item x="421"/>
        <item x="361"/>
        <item x="446"/>
        <item x="123"/>
        <item x="987"/>
        <item x="1108"/>
        <item x="1177"/>
        <item x="675"/>
        <item x="267"/>
        <item x="431"/>
        <item x="508"/>
        <item x="792"/>
        <item x="941"/>
        <item x="30"/>
        <item x="917"/>
        <item x="848"/>
        <item x="183"/>
        <item x="260"/>
        <item x="195"/>
        <item x="312"/>
        <item x="351"/>
        <item x="504"/>
        <item x="1192"/>
        <item x="103"/>
        <item x="474"/>
        <item x="796"/>
        <item x="1090"/>
        <item x="435"/>
        <item x="840"/>
        <item x="786"/>
        <item x="688"/>
        <item x="378"/>
        <item x="878"/>
        <item x="733"/>
        <item x="333"/>
        <item x="753"/>
        <item x="1152"/>
        <item x="927"/>
        <item x="513"/>
        <item x="1072"/>
        <item x="549"/>
        <item x="205"/>
        <item x="1158"/>
        <item x="589"/>
        <item x="743"/>
        <item x="758"/>
        <item x="664"/>
        <item x="907"/>
        <item x="111"/>
        <item x="503"/>
        <item x="1091"/>
        <item x="35"/>
        <item x="147"/>
        <item x="182"/>
        <item x="232"/>
        <item x="877"/>
        <item x="1128"/>
        <item x="1106"/>
        <item x="208"/>
        <item x="233"/>
        <item x="1016"/>
        <item x="865"/>
        <item x="901"/>
        <item x="113"/>
        <item x="1121"/>
        <item x="710"/>
        <item x="1006"/>
        <item x="384"/>
        <item x="737"/>
        <item x="1051"/>
        <item x="870"/>
        <item x="1161"/>
        <item x="190"/>
        <item x="871"/>
        <item x="1025"/>
        <item x="691"/>
        <item x="986"/>
        <item x="553"/>
        <item x="781"/>
        <item x="777"/>
        <item x="999"/>
        <item x="296"/>
        <item x="560"/>
        <item x="1048"/>
        <item x="935"/>
        <item x="261"/>
        <item x="164"/>
        <item x="588"/>
        <item x="375"/>
        <item x="754"/>
        <item x="646"/>
        <item x="1093"/>
        <item x="372"/>
        <item x="772"/>
        <item x="125"/>
        <item x="674"/>
        <item x="1081"/>
        <item x="475"/>
        <item x="55"/>
        <item x="409"/>
        <item x="486"/>
        <item x="283"/>
        <item x="936"/>
        <item x="1087"/>
        <item x="1193"/>
        <item x="427"/>
        <item x="381"/>
        <item x="469"/>
        <item x="390"/>
        <item x="129"/>
        <item x="346"/>
        <item x="1111"/>
        <item x="122"/>
        <item x="16"/>
        <item x="868"/>
        <item x="36"/>
        <item x="119"/>
        <item x="764"/>
        <item x="202"/>
        <item x="926"/>
        <item x="209"/>
        <item x="347"/>
        <item x="678"/>
        <item x="324"/>
        <item x="808"/>
        <item x="1033"/>
        <item x="841"/>
        <item x="23"/>
        <item x="876"/>
        <item x="144"/>
        <item x="1050"/>
        <item x="44"/>
        <item x="315"/>
        <item x="126"/>
        <item x="1019"/>
        <item x="1070"/>
        <item x="1098"/>
        <item x="1135"/>
        <item x="196"/>
        <item x="853"/>
        <item x="19"/>
        <item x="318"/>
        <item x="919"/>
        <item x="157"/>
        <item x="1009"/>
        <item x="328"/>
        <item x="124"/>
        <item x="957"/>
        <item x="705"/>
        <item x="481"/>
        <item x="653"/>
        <item x="647"/>
        <item x="970"/>
        <item x="321"/>
        <item x="116"/>
        <item x="1018"/>
        <item x="639"/>
        <item x="1142"/>
        <item x="1133"/>
        <item x="1000"/>
        <item x="621"/>
        <item x="980"/>
        <item x="622"/>
        <item x="945"/>
        <item x="1175"/>
        <item x="75"/>
        <item x="1084"/>
        <item x="750"/>
        <item x="275"/>
        <item x="1008"/>
        <item x="787"/>
        <item x="854"/>
        <item x="297"/>
        <item x="133"/>
        <item x="968"/>
        <item x="1145"/>
        <item x="279"/>
        <item x="484"/>
        <item x="1146"/>
        <item x="937"/>
        <item x="213"/>
        <item x="636"/>
        <item x="1003"/>
        <item x="839"/>
        <item x="407"/>
        <item x="269"/>
        <item x="1031"/>
        <item x="629"/>
        <item x="671"/>
        <item x="774"/>
        <item x="568"/>
        <item x="1099"/>
        <item x="985"/>
        <item x="867"/>
        <item x="330"/>
        <item x="805"/>
        <item x="29"/>
        <item x="660"/>
        <item x="547"/>
        <item x="826"/>
        <item x="658"/>
        <item x="648"/>
        <item x="216"/>
        <item x="1052"/>
        <item x="415"/>
        <item x="842"/>
        <item x="847"/>
        <item x="1080"/>
        <item x="1187"/>
        <item x="354"/>
        <item x="1085"/>
        <item x="329"/>
        <item x="727"/>
        <item x="659"/>
        <item x="71"/>
        <item x="995"/>
        <item x="858"/>
        <item x="665"/>
        <item x="798"/>
        <item x="625"/>
        <item x="661"/>
        <item x="887"/>
        <item x="1191"/>
        <item x="379"/>
        <item x="951"/>
        <item x="971"/>
        <item x="993"/>
        <item x="611"/>
        <item x="921"/>
        <item x="1011"/>
        <item x="307"/>
        <item x="608"/>
        <item x="542"/>
        <item x="200"/>
        <item x="528"/>
        <item x="1017"/>
        <item x="824"/>
        <item x="197"/>
        <item x="1012"/>
        <item x="718"/>
        <item x="715"/>
        <item x="142"/>
        <item x="21"/>
        <item x="437"/>
        <item x="942"/>
        <item x="1097"/>
        <item x="679"/>
        <item x="1144"/>
        <item x="825"/>
        <item x="1165"/>
        <item x="106"/>
        <item x="905"/>
        <item x="963"/>
        <item x="301"/>
        <item x="127"/>
        <item x="984"/>
        <item x="900"/>
        <item x="581"/>
        <item x="1100"/>
        <item x="673"/>
        <item x="395"/>
        <item x="69"/>
        <item x="56"/>
        <item x="823"/>
        <item x="1068"/>
        <item x="371"/>
        <item x="812"/>
        <item x="852"/>
        <item x="537"/>
        <item x="68"/>
        <item x="1083"/>
        <item x="635"/>
        <item x="904"/>
        <item x="1136"/>
        <item x="626"/>
        <item x="43"/>
        <item x="31"/>
        <item x="130"/>
        <item x="1134"/>
        <item x="1186"/>
        <item x="336"/>
        <item x="949"/>
        <item x="493"/>
        <item x="471"/>
        <item x="337"/>
        <item x="681"/>
        <item x="76"/>
        <item x="237"/>
        <item x="370"/>
        <item x="793"/>
        <item x="564"/>
        <item x="227"/>
        <item x="738"/>
        <item x="817"/>
        <item x="57"/>
        <item x="441"/>
        <item x="382"/>
        <item x="1159"/>
        <item x="179"/>
        <item x="1040"/>
        <item x="140"/>
        <item x="538"/>
        <item x="998"/>
        <item x="530"/>
        <item x="143"/>
        <item x="517"/>
        <item x="238"/>
        <item x="827"/>
        <item x="498"/>
        <item x="178"/>
        <item x="154"/>
        <item x="1120"/>
        <item x="790"/>
        <item x="433"/>
        <item x="1132"/>
        <item x="1041"/>
        <item x="965"/>
        <item x="860"/>
        <item x="203"/>
        <item x="252"/>
        <item x="514"/>
        <item x="383"/>
        <item x="1118"/>
        <item x="740"/>
        <item x="598"/>
        <item x="789"/>
        <item x="306"/>
        <item x="1124"/>
        <item x="401"/>
        <item x="701"/>
        <item x="501"/>
        <item x="551"/>
        <item x="1076"/>
        <item x="511"/>
        <item x="851"/>
        <item x="651"/>
        <item x="814"/>
        <item x="623"/>
        <item x="1140"/>
        <item x="751"/>
        <item x="1077"/>
        <item x="175"/>
        <item x="93"/>
        <item x="891"/>
        <item x="73"/>
        <item x="846"/>
        <item x="463"/>
        <item x="795"/>
        <item x="262"/>
        <item x="482"/>
        <item x="258"/>
        <item x="236"/>
        <item x="988"/>
        <item x="1023"/>
        <item x="225"/>
        <item x="1112"/>
        <item x="778"/>
        <item x="973"/>
        <item x="80"/>
        <item x="231"/>
        <item x="109"/>
        <item x="132"/>
        <item x="615"/>
        <item x="365"/>
        <item x="404"/>
        <item x="1122"/>
        <item x="277"/>
        <item x="595"/>
        <item x="563"/>
        <item x="961"/>
        <item x="41"/>
        <item x="915"/>
        <item x="698"/>
        <item x="1185"/>
        <item x="292"/>
        <item x="518"/>
        <item x="194"/>
        <item x="944"/>
        <item x="1154"/>
        <item x="343"/>
        <item x="355"/>
        <item x="757"/>
        <item x="115"/>
        <item x="368"/>
        <item x="869"/>
        <item x="432"/>
        <item x="992"/>
        <item x="58"/>
        <item x="387"/>
        <item x="519"/>
        <item x="849"/>
        <item x="914"/>
        <item x="573"/>
        <item x="894"/>
        <item x="650"/>
        <item x="480"/>
        <item x="1123"/>
        <item x="533"/>
        <item x="1184"/>
        <item x="609"/>
        <item x="920"/>
        <item x="53"/>
        <item x="1044"/>
        <item x="714"/>
        <item x="888"/>
        <item x="1065"/>
        <item x="494"/>
        <item x="1005"/>
        <item x="732"/>
        <item x="1109"/>
        <item x="215"/>
        <item x="908"/>
        <item x="745"/>
        <item x="802"/>
        <item x="561"/>
        <item x="172"/>
        <item x="645"/>
        <item x="100"/>
        <item x="1131"/>
        <item x="976"/>
        <item x="912"/>
        <item x="180"/>
        <item x="1030"/>
        <item x="806"/>
        <item x="9"/>
        <item x="457"/>
        <item x="356"/>
        <item x="303"/>
        <item x="177"/>
        <item x="287"/>
        <item x="141"/>
        <item x="428"/>
        <item x="882"/>
        <item x="652"/>
        <item x="1029"/>
        <item x="1166"/>
        <item x="770"/>
        <item x="932"/>
        <item x="735"/>
        <item x="741"/>
        <item x="490"/>
        <item x="1001"/>
        <item x="572"/>
        <item x="1141"/>
        <item x="398"/>
        <item x="712"/>
        <item x="736"/>
        <item x="153"/>
        <item x="1150"/>
        <item x="188"/>
        <item x="669"/>
        <item x="176"/>
        <item x="282"/>
        <item x="1042"/>
        <item x="83"/>
        <item x="199"/>
        <item x="857"/>
        <item x="406"/>
        <item x="308"/>
        <item x="46"/>
        <item x="1022"/>
        <item x="151"/>
        <item x="1036"/>
        <item x="574"/>
        <item x="1194"/>
        <item x="82"/>
        <item x="640"/>
        <item x="89"/>
        <item x="540"/>
        <item x="614"/>
        <item x="34"/>
        <item x="1119"/>
        <item x="837"/>
        <item x="587"/>
        <item x="637"/>
        <item x="962"/>
        <item x="1075"/>
        <item x="725"/>
        <item x="341"/>
        <item x="265"/>
        <item x="489"/>
        <item x="266"/>
        <item x="559"/>
        <item x="72"/>
        <item x="359"/>
        <item x="804"/>
        <item x="687"/>
        <item x="59"/>
        <item x="910"/>
        <item x="620"/>
        <item x="800"/>
        <item x="816"/>
        <item x="173"/>
        <item x="358"/>
        <item x="831"/>
        <item x="797"/>
        <item x="485"/>
        <item x="310"/>
        <item x="990"/>
        <item x="456"/>
        <item x="91"/>
        <item x="566"/>
        <item x="597"/>
        <item x="114"/>
        <item x="4"/>
        <item x="344"/>
        <item x="922"/>
        <item x="557"/>
        <item x="118"/>
        <item x="120"/>
        <item x="548"/>
        <item x="1092"/>
        <item x="606"/>
        <item x="1139"/>
        <item x="499"/>
        <item x="389"/>
        <item x="445"/>
        <item x="281"/>
        <item x="464"/>
        <item x="586"/>
        <item x="983"/>
        <item x="1174"/>
        <item x="1089"/>
        <item x="974"/>
        <item x="706"/>
        <item x="339"/>
        <item x="682"/>
        <item x="822"/>
        <item x="280"/>
        <item x="286"/>
        <item x="780"/>
        <item x="522"/>
        <item x="393"/>
        <item x="960"/>
        <item x="169"/>
        <item x="268"/>
        <item x="693"/>
        <item x="251"/>
        <item x="163"/>
        <item x="32"/>
        <item x="864"/>
        <item x="768"/>
        <item x="607"/>
        <item x="422"/>
        <item x="1071"/>
        <item x="2"/>
        <item x="470"/>
        <item x="1151"/>
        <item x="222"/>
        <item x="1082"/>
        <item x="221"/>
        <item x="1137"/>
        <item x="1148"/>
        <item x="388"/>
        <item x="627"/>
        <item x="997"/>
        <item x="880"/>
        <item x="577"/>
        <item x="0"/>
        <item x="815"/>
        <item x="510"/>
        <item x="913"/>
        <item x="730"/>
        <item x="632"/>
        <item x="491"/>
        <item x="873"/>
        <item x="449"/>
        <item x="240"/>
        <item x="97"/>
        <item x="819"/>
        <item x="10"/>
        <item x="763"/>
        <item x="363"/>
        <item x="1074"/>
        <item x="295"/>
        <item x="964"/>
        <item x="220"/>
        <item x="86"/>
        <item x="954"/>
        <item x="801"/>
        <item x="539"/>
        <item x="886"/>
        <item x="767"/>
        <item x="526"/>
        <item x="836"/>
        <item x="366"/>
        <item x="360"/>
        <item x="462"/>
        <item x="1026"/>
        <item x="1060"/>
        <item x="325"/>
        <item x="107"/>
        <item x="327"/>
        <item x="468"/>
        <item x="631"/>
        <item x="1117"/>
        <item x="788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Average Total Price" fld="13" subtotal="average" baseField="14" baseItem="0"/>
    <dataField name="% of" fld="0" subtotal="count" showDataAs="percentOfTotal" baseField="8" baseItem="0" numFmtId="10"/>
    <dataField name="Sum of TotalPrice" fld="13" baseField="0" baseItem="0"/>
    <dataField name="Count of OrderID" fld="0" subtotal="count" baseField="14" baseItem="1"/>
    <dataField name="Average of Quantity" fld="4" subtotal="average" baseField="14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23930D-F504-41F2-BE6E-CD3F83918B71}" name="PivotTable7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rowHeaderCaption="Year">
  <location ref="A6:E9" firstHeaderRow="0" firstDataRow="1" firstDataCol="1"/>
  <pivotFields count="15">
    <pivotField dataField="1" showAll="0"/>
    <pivotField numFmtId="1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1196">
        <item x="1156"/>
        <item x="862"/>
        <item x="239"/>
        <item x="541"/>
        <item x="335"/>
        <item x="775"/>
        <item x="1020"/>
        <item x="689"/>
        <item x="923"/>
        <item x="472"/>
        <item x="49"/>
        <item x="302"/>
        <item x="487"/>
        <item x="1039"/>
        <item x="759"/>
        <item x="1073"/>
        <item x="136"/>
        <item x="466"/>
        <item x="192"/>
        <item x="67"/>
        <item x="713"/>
        <item x="430"/>
        <item x="1015"/>
        <item x="556"/>
        <item x="810"/>
        <item x="250"/>
        <item x="628"/>
        <item x="483"/>
        <item x="773"/>
        <item x="903"/>
        <item x="350"/>
        <item x="234"/>
        <item x="291"/>
        <item x="799"/>
        <item x="1173"/>
        <item x="571"/>
        <item x="1079"/>
        <item x="599"/>
        <item x="662"/>
        <item x="392"/>
        <item x="451"/>
        <item x="828"/>
        <item x="981"/>
        <item x="410"/>
        <item x="386"/>
        <item x="928"/>
        <item x="531"/>
        <item x="128"/>
        <item x="131"/>
        <item x="62"/>
        <item x="1024"/>
        <item x="505"/>
        <item x="969"/>
        <item x="554"/>
        <item x="657"/>
        <item x="702"/>
        <item x="525"/>
        <item x="385"/>
        <item x="721"/>
        <item x="613"/>
        <item x="603"/>
        <item x="704"/>
        <item x="22"/>
        <item x="478"/>
        <item x="601"/>
        <item x="972"/>
        <item x="1190"/>
        <item x="709"/>
        <item x="349"/>
        <item x="453"/>
        <item x="1153"/>
        <item x="676"/>
        <item x="833"/>
        <item x="305"/>
        <item x="423"/>
        <item x="412"/>
        <item x="1007"/>
        <item x="550"/>
        <item x="703"/>
        <item x="206"/>
        <item x="1078"/>
        <item x="600"/>
        <item x="1102"/>
        <item x="1172"/>
        <item x="249"/>
        <item x="274"/>
        <item x="950"/>
        <item x="731"/>
        <item x="1046"/>
        <item x="562"/>
        <item x="1063"/>
        <item x="443"/>
        <item x="711"/>
        <item x="135"/>
        <item x="630"/>
        <item x="442"/>
        <item x="683"/>
        <item x="102"/>
        <item x="459"/>
        <item x="929"/>
        <item x="438"/>
        <item x="1002"/>
        <item x="1130"/>
        <item x="11"/>
        <item x="322"/>
        <item x="1116"/>
        <item x="760"/>
        <item x="523"/>
        <item x="1129"/>
        <item x="37"/>
        <item x="680"/>
        <item x="756"/>
        <item x="545"/>
        <item x="543"/>
        <item x="685"/>
        <item x="426"/>
        <item x="48"/>
        <item x="33"/>
        <item x="1181"/>
        <item x="722"/>
        <item x="278"/>
        <item x="340"/>
        <item x="230"/>
        <item x="506"/>
        <item x="784"/>
        <item x="734"/>
        <item x="692"/>
        <item x="830"/>
        <item x="835"/>
        <item x="50"/>
        <item x="450"/>
        <item x="414"/>
        <item x="1162"/>
        <item x="699"/>
        <item x="477"/>
        <item x="1095"/>
        <item x="634"/>
        <item x="380"/>
        <item x="92"/>
        <item x="1115"/>
        <item x="544"/>
        <item x="161"/>
        <item x="403"/>
        <item x="332"/>
        <item x="99"/>
        <item x="1179"/>
        <item x="534"/>
        <item x="257"/>
        <item x="1168"/>
        <item x="977"/>
        <item x="184"/>
        <item x="150"/>
        <item x="747"/>
        <item x="323"/>
        <item x="570"/>
        <item x="149"/>
        <item x="110"/>
        <item x="1069"/>
        <item x="244"/>
        <item x="785"/>
        <item x="991"/>
        <item x="933"/>
        <item x="761"/>
        <item x="684"/>
        <item x="720"/>
        <item x="108"/>
        <item x="982"/>
        <item x="38"/>
        <item x="229"/>
        <item x="193"/>
        <item x="1032"/>
        <item x="1094"/>
        <item x="461"/>
        <item x="1105"/>
        <item x="670"/>
        <item x="171"/>
        <item x="668"/>
        <item x="924"/>
        <item x="165"/>
        <item x="717"/>
        <item x="376"/>
        <item x="254"/>
        <item x="405"/>
        <item x="654"/>
        <item x="211"/>
        <item x="1054"/>
        <item x="185"/>
        <item x="584"/>
        <item x="8"/>
        <item x="397"/>
        <item x="3"/>
        <item x="1170"/>
        <item x="700"/>
        <item x="416"/>
        <item x="1014"/>
        <item x="298"/>
        <item x="413"/>
        <item x="909"/>
        <item x="316"/>
        <item x="54"/>
        <item x="1178"/>
        <item x="755"/>
        <item x="959"/>
        <item x="512"/>
        <item x="425"/>
        <item x="299"/>
        <item x="956"/>
        <item x="242"/>
        <item x="1043"/>
        <item x="170"/>
        <item x="26"/>
        <item x="138"/>
        <item x="159"/>
        <item x="289"/>
        <item x="644"/>
        <item x="1"/>
        <item x="42"/>
        <item x="214"/>
        <item x="979"/>
        <item x="610"/>
        <item x="218"/>
        <item x="1104"/>
        <item x="417"/>
        <item x="369"/>
        <item x="20"/>
        <item x="455"/>
        <item x="769"/>
        <item x="45"/>
        <item x="235"/>
        <item x="447"/>
        <item x="843"/>
        <item x="953"/>
        <item x="844"/>
        <item x="776"/>
        <item x="377"/>
        <item x="783"/>
        <item x="84"/>
        <item x="158"/>
        <item x="311"/>
        <item x="686"/>
        <item x="458"/>
        <item x="439"/>
        <item x="479"/>
        <item x="496"/>
        <item x="217"/>
        <item x="284"/>
        <item x="174"/>
        <item x="1180"/>
        <item x="88"/>
        <item x="1045"/>
        <item x="656"/>
        <item x="1004"/>
        <item x="1061"/>
        <item x="1143"/>
        <item x="1107"/>
        <item x="529"/>
        <item x="1038"/>
        <item x="326"/>
        <item x="12"/>
        <item x="861"/>
        <item x="593"/>
        <item x="273"/>
        <item x="850"/>
        <item x="223"/>
        <item x="716"/>
        <item x="357"/>
        <item x="897"/>
        <item x="1182"/>
        <item x="1028"/>
        <item x="1101"/>
        <item x="578"/>
        <item x="509"/>
        <item x="655"/>
        <item x="255"/>
        <item x="374"/>
        <item x="101"/>
        <item x="1138"/>
        <item x="394"/>
        <item x="708"/>
        <item x="51"/>
        <item x="724"/>
        <item x="832"/>
        <item x="64"/>
        <item x="1067"/>
        <item x="889"/>
        <item x="575"/>
        <item x="1167"/>
        <item x="309"/>
        <item x="134"/>
        <item x="25"/>
        <item x="460"/>
        <item x="807"/>
        <item x="160"/>
        <item x="256"/>
        <item x="952"/>
        <item x="65"/>
        <item x="619"/>
        <item x="502"/>
        <item x="112"/>
        <item x="121"/>
        <item x="723"/>
        <item x="617"/>
        <item x="434"/>
        <item x="60"/>
        <item x="285"/>
        <item x="467"/>
        <item x="47"/>
        <item x="492"/>
        <item x="408"/>
        <item x="859"/>
        <item x="17"/>
        <item x="596"/>
        <item x="155"/>
        <item x="641"/>
        <item x="396"/>
        <item x="1057"/>
        <item x="1171"/>
        <item x="168"/>
        <item x="975"/>
        <item x="18"/>
        <item x="465"/>
        <item x="418"/>
        <item x="263"/>
        <item x="241"/>
        <item x="782"/>
        <item x="642"/>
        <item x="918"/>
        <item x="85"/>
        <item x="966"/>
        <item x="145"/>
        <item x="246"/>
        <item x="893"/>
        <item x="204"/>
        <item x="902"/>
        <item x="744"/>
        <item x="317"/>
        <item x="488"/>
        <item x="1157"/>
        <item x="429"/>
        <item x="419"/>
        <item x="1064"/>
        <item x="74"/>
        <item x="276"/>
        <item x="98"/>
        <item x="604"/>
        <item x="314"/>
        <item x="898"/>
        <item x="883"/>
        <item x="612"/>
        <item x="24"/>
        <item x="794"/>
        <item x="582"/>
        <item x="892"/>
        <item x="348"/>
        <item x="96"/>
        <item x="666"/>
        <item x="95"/>
        <item x="558"/>
        <item x="338"/>
        <item x="27"/>
        <item x="15"/>
        <item x="696"/>
        <item x="729"/>
        <item x="895"/>
        <item x="955"/>
        <item x="1176"/>
        <item x="272"/>
        <item x="726"/>
        <item x="931"/>
        <item x="821"/>
        <item x="939"/>
        <item x="752"/>
        <item x="994"/>
        <item x="1096"/>
        <item x="444"/>
        <item x="61"/>
        <item x="677"/>
        <item x="592"/>
        <item x="863"/>
        <item x="5"/>
        <item x="515"/>
        <item x="137"/>
        <item x="694"/>
        <item x="667"/>
        <item x="996"/>
        <item x="476"/>
        <item x="304"/>
        <item x="1066"/>
        <item x="811"/>
        <item x="579"/>
        <item x="436"/>
        <item x="884"/>
        <item x="521"/>
        <item x="748"/>
        <item x="633"/>
        <item x="746"/>
        <item x="585"/>
        <item x="874"/>
        <item x="1164"/>
        <item x="342"/>
        <item x="520"/>
        <item x="638"/>
        <item x="497"/>
        <item x="94"/>
        <item x="1047"/>
        <item x="618"/>
        <item x="885"/>
        <item x="117"/>
        <item x="1035"/>
        <item x="294"/>
        <item x="400"/>
        <item x="156"/>
        <item x="1155"/>
        <item x="270"/>
        <item x="248"/>
        <item x="1055"/>
        <item x="978"/>
        <item x="1013"/>
        <item x="879"/>
        <item x="946"/>
        <item x="616"/>
        <item x="809"/>
        <item x="105"/>
        <item x="765"/>
        <item x="507"/>
        <item x="938"/>
        <item x="228"/>
        <item x="63"/>
        <item x="532"/>
        <item x="1189"/>
        <item x="362"/>
        <item x="762"/>
        <item x="866"/>
        <item x="373"/>
        <item x="264"/>
        <item x="742"/>
        <item x="420"/>
        <item x="583"/>
        <item x="940"/>
        <item x="210"/>
        <item x="749"/>
        <item x="104"/>
        <item x="77"/>
        <item x="906"/>
        <item x="139"/>
        <item x="300"/>
        <item x="52"/>
        <item x="855"/>
        <item x="813"/>
        <item x="186"/>
        <item x="838"/>
        <item x="167"/>
        <item x="293"/>
        <item x="881"/>
        <item x="1149"/>
        <item x="947"/>
        <item x="934"/>
        <item x="1034"/>
        <item x="181"/>
        <item x="958"/>
        <item x="495"/>
        <item x="424"/>
        <item x="13"/>
        <item x="695"/>
        <item x="771"/>
        <item x="590"/>
        <item x="320"/>
        <item x="313"/>
        <item x="948"/>
        <item x="591"/>
        <item x="546"/>
        <item x="535"/>
        <item x="334"/>
        <item x="1027"/>
        <item x="402"/>
        <item x="79"/>
        <item x="198"/>
        <item x="331"/>
        <item x="319"/>
        <item x="911"/>
        <item x="967"/>
        <item x="391"/>
        <item x="580"/>
        <item x="1086"/>
        <item x="527"/>
        <item x="70"/>
        <item x="352"/>
        <item x="1062"/>
        <item x="212"/>
        <item x="1103"/>
        <item x="243"/>
        <item x="66"/>
        <item x="148"/>
        <item x="454"/>
        <item x="28"/>
        <item x="399"/>
        <item x="1058"/>
        <item x="162"/>
        <item x="288"/>
        <item x="719"/>
        <item x="191"/>
        <item x="766"/>
        <item x="896"/>
        <item x="1125"/>
        <item x="565"/>
        <item x="555"/>
        <item x="345"/>
        <item x="602"/>
        <item x="440"/>
        <item x="1056"/>
        <item x="1049"/>
        <item x="875"/>
        <item x="1163"/>
        <item x="6"/>
        <item x="411"/>
        <item x="707"/>
        <item x="872"/>
        <item x="1169"/>
        <item x="552"/>
        <item x="524"/>
        <item x="247"/>
        <item x="189"/>
        <item x="1160"/>
        <item x="1110"/>
        <item x="624"/>
        <item x="1127"/>
        <item x="87"/>
        <item x="452"/>
        <item x="1021"/>
        <item x="890"/>
        <item x="364"/>
        <item x="834"/>
        <item x="245"/>
        <item x="1114"/>
        <item x="1188"/>
        <item x="567"/>
        <item x="473"/>
        <item x="40"/>
        <item x="1147"/>
        <item x="290"/>
        <item x="353"/>
        <item x="1126"/>
        <item x="820"/>
        <item x="1010"/>
        <item x="78"/>
        <item x="803"/>
        <item x="791"/>
        <item x="690"/>
        <item x="845"/>
        <item x="899"/>
        <item x="569"/>
        <item x="187"/>
        <item x="90"/>
        <item x="226"/>
        <item x="643"/>
        <item x="779"/>
        <item x="925"/>
        <item x="576"/>
        <item x="536"/>
        <item x="1183"/>
        <item x="649"/>
        <item x="728"/>
        <item x="672"/>
        <item x="219"/>
        <item x="7"/>
        <item x="916"/>
        <item x="1113"/>
        <item x="739"/>
        <item x="448"/>
        <item x="201"/>
        <item x="829"/>
        <item x="166"/>
        <item x="39"/>
        <item x="594"/>
        <item x="856"/>
        <item x="697"/>
        <item x="663"/>
        <item x="14"/>
        <item x="930"/>
        <item x="81"/>
        <item x="1088"/>
        <item x="253"/>
        <item x="516"/>
        <item x="1059"/>
        <item x="818"/>
        <item x="152"/>
        <item x="271"/>
        <item x="989"/>
        <item x="943"/>
        <item x="367"/>
        <item x="500"/>
        <item x="259"/>
        <item x="207"/>
        <item x="1037"/>
        <item x="224"/>
        <item x="146"/>
        <item x="605"/>
        <item x="1053"/>
        <item x="421"/>
        <item x="361"/>
        <item x="446"/>
        <item x="123"/>
        <item x="987"/>
        <item x="1108"/>
        <item x="1177"/>
        <item x="675"/>
        <item x="267"/>
        <item x="431"/>
        <item x="508"/>
        <item x="792"/>
        <item x="941"/>
        <item x="30"/>
        <item x="917"/>
        <item x="848"/>
        <item x="183"/>
        <item x="260"/>
        <item x="195"/>
        <item x="312"/>
        <item x="351"/>
        <item x="504"/>
        <item x="1192"/>
        <item x="103"/>
        <item x="474"/>
        <item x="796"/>
        <item x="1090"/>
        <item x="435"/>
        <item x="840"/>
        <item x="786"/>
        <item x="688"/>
        <item x="378"/>
        <item x="878"/>
        <item x="733"/>
        <item x="333"/>
        <item x="753"/>
        <item x="1152"/>
        <item x="927"/>
        <item x="513"/>
        <item x="1072"/>
        <item x="549"/>
        <item x="205"/>
        <item x="1158"/>
        <item x="589"/>
        <item x="743"/>
        <item x="758"/>
        <item x="664"/>
        <item x="907"/>
        <item x="111"/>
        <item x="503"/>
        <item x="1091"/>
        <item x="35"/>
        <item x="147"/>
        <item x="182"/>
        <item x="232"/>
        <item x="877"/>
        <item x="1128"/>
        <item x="1106"/>
        <item x="208"/>
        <item x="233"/>
        <item x="1016"/>
        <item x="865"/>
        <item x="901"/>
        <item x="113"/>
        <item x="1121"/>
        <item x="710"/>
        <item x="1006"/>
        <item x="384"/>
        <item x="737"/>
        <item x="1051"/>
        <item x="870"/>
        <item x="1161"/>
        <item x="190"/>
        <item x="871"/>
        <item x="1025"/>
        <item x="691"/>
        <item x="986"/>
        <item x="553"/>
        <item x="781"/>
        <item x="777"/>
        <item x="999"/>
        <item x="296"/>
        <item x="560"/>
        <item x="1048"/>
        <item x="935"/>
        <item x="261"/>
        <item x="164"/>
        <item x="588"/>
        <item x="375"/>
        <item x="754"/>
        <item x="646"/>
        <item x="1093"/>
        <item x="372"/>
        <item x="772"/>
        <item x="125"/>
        <item x="674"/>
        <item x="1081"/>
        <item x="475"/>
        <item x="55"/>
        <item x="409"/>
        <item x="486"/>
        <item x="283"/>
        <item x="936"/>
        <item x="1087"/>
        <item x="1193"/>
        <item x="427"/>
        <item x="381"/>
        <item x="469"/>
        <item x="390"/>
        <item x="129"/>
        <item x="346"/>
        <item x="1111"/>
        <item x="122"/>
        <item x="16"/>
        <item x="868"/>
        <item x="36"/>
        <item x="119"/>
        <item x="764"/>
        <item x="202"/>
        <item x="926"/>
        <item x="209"/>
        <item x="347"/>
        <item x="678"/>
        <item x="324"/>
        <item x="808"/>
        <item x="1033"/>
        <item x="841"/>
        <item x="23"/>
        <item x="876"/>
        <item x="144"/>
        <item x="1050"/>
        <item x="44"/>
        <item x="315"/>
        <item x="126"/>
        <item x="1019"/>
        <item x="1070"/>
        <item x="1098"/>
        <item x="1135"/>
        <item x="196"/>
        <item x="853"/>
        <item x="19"/>
        <item x="318"/>
        <item x="919"/>
        <item x="157"/>
        <item x="1009"/>
        <item x="328"/>
        <item x="124"/>
        <item x="957"/>
        <item x="705"/>
        <item x="481"/>
        <item x="653"/>
        <item x="647"/>
        <item x="970"/>
        <item x="321"/>
        <item x="116"/>
        <item x="1018"/>
        <item x="639"/>
        <item x="1142"/>
        <item x="1133"/>
        <item x="1000"/>
        <item x="621"/>
        <item x="980"/>
        <item x="622"/>
        <item x="945"/>
        <item x="1175"/>
        <item x="75"/>
        <item x="1084"/>
        <item x="750"/>
        <item x="275"/>
        <item x="1008"/>
        <item x="787"/>
        <item x="854"/>
        <item x="297"/>
        <item x="133"/>
        <item x="968"/>
        <item x="1145"/>
        <item x="279"/>
        <item x="484"/>
        <item x="1146"/>
        <item x="937"/>
        <item x="213"/>
        <item x="636"/>
        <item x="1003"/>
        <item x="839"/>
        <item x="407"/>
        <item x="269"/>
        <item x="1031"/>
        <item x="629"/>
        <item x="671"/>
        <item x="774"/>
        <item x="568"/>
        <item x="1099"/>
        <item x="985"/>
        <item x="867"/>
        <item x="330"/>
        <item x="805"/>
        <item x="29"/>
        <item x="660"/>
        <item x="547"/>
        <item x="826"/>
        <item x="658"/>
        <item x="648"/>
        <item x="216"/>
        <item x="1052"/>
        <item x="415"/>
        <item x="842"/>
        <item x="847"/>
        <item x="1080"/>
        <item x="1187"/>
        <item x="354"/>
        <item x="1085"/>
        <item x="329"/>
        <item x="727"/>
        <item x="659"/>
        <item x="71"/>
        <item x="995"/>
        <item x="858"/>
        <item x="665"/>
        <item x="798"/>
        <item x="625"/>
        <item x="661"/>
        <item x="887"/>
        <item x="1191"/>
        <item x="379"/>
        <item x="951"/>
        <item x="971"/>
        <item x="993"/>
        <item x="611"/>
        <item x="921"/>
        <item x="1011"/>
        <item x="307"/>
        <item x="608"/>
        <item x="542"/>
        <item x="200"/>
        <item x="528"/>
        <item x="1017"/>
        <item x="824"/>
        <item x="197"/>
        <item x="1012"/>
        <item x="718"/>
        <item x="715"/>
        <item x="142"/>
        <item x="21"/>
        <item x="437"/>
        <item x="942"/>
        <item x="1097"/>
        <item x="679"/>
        <item x="1144"/>
        <item x="825"/>
        <item x="1165"/>
        <item x="106"/>
        <item x="905"/>
        <item x="963"/>
        <item x="301"/>
        <item x="127"/>
        <item x="984"/>
        <item x="900"/>
        <item x="581"/>
        <item x="1100"/>
        <item x="673"/>
        <item x="395"/>
        <item x="69"/>
        <item x="56"/>
        <item x="823"/>
        <item x="1068"/>
        <item x="371"/>
        <item x="812"/>
        <item x="852"/>
        <item x="537"/>
        <item x="68"/>
        <item x="1083"/>
        <item x="635"/>
        <item x="904"/>
        <item x="1136"/>
        <item x="626"/>
        <item x="43"/>
        <item x="31"/>
        <item x="130"/>
        <item x="1134"/>
        <item x="1186"/>
        <item x="336"/>
        <item x="949"/>
        <item x="493"/>
        <item x="471"/>
        <item x="337"/>
        <item x="681"/>
        <item x="76"/>
        <item x="237"/>
        <item x="370"/>
        <item x="793"/>
        <item x="564"/>
        <item x="227"/>
        <item x="738"/>
        <item x="817"/>
        <item x="57"/>
        <item x="441"/>
        <item x="382"/>
        <item x="1159"/>
        <item x="179"/>
        <item x="1040"/>
        <item x="140"/>
        <item x="538"/>
        <item x="998"/>
        <item x="530"/>
        <item x="143"/>
        <item x="517"/>
        <item x="238"/>
        <item x="827"/>
        <item x="498"/>
        <item x="178"/>
        <item x="154"/>
        <item x="1120"/>
        <item x="790"/>
        <item x="433"/>
        <item x="1132"/>
        <item x="1041"/>
        <item x="965"/>
        <item x="860"/>
        <item x="203"/>
        <item x="252"/>
        <item x="514"/>
        <item x="383"/>
        <item x="1118"/>
        <item x="740"/>
        <item x="598"/>
        <item x="789"/>
        <item x="306"/>
        <item x="1124"/>
        <item x="401"/>
        <item x="701"/>
        <item x="501"/>
        <item x="551"/>
        <item x="1076"/>
        <item x="511"/>
        <item x="851"/>
        <item x="651"/>
        <item x="814"/>
        <item x="623"/>
        <item x="1140"/>
        <item x="751"/>
        <item x="1077"/>
        <item x="175"/>
        <item x="93"/>
        <item x="891"/>
        <item x="73"/>
        <item x="846"/>
        <item x="463"/>
        <item x="795"/>
        <item x="262"/>
        <item x="482"/>
        <item x="258"/>
        <item x="236"/>
        <item x="988"/>
        <item x="1023"/>
        <item x="225"/>
        <item x="1112"/>
        <item x="778"/>
        <item x="973"/>
        <item x="80"/>
        <item x="231"/>
        <item x="109"/>
        <item x="132"/>
        <item x="615"/>
        <item x="365"/>
        <item x="404"/>
        <item x="1122"/>
        <item x="277"/>
        <item x="595"/>
        <item x="563"/>
        <item x="961"/>
        <item x="41"/>
        <item x="915"/>
        <item x="698"/>
        <item x="1185"/>
        <item x="292"/>
        <item x="518"/>
        <item x="194"/>
        <item x="944"/>
        <item x="1154"/>
        <item x="343"/>
        <item x="355"/>
        <item x="757"/>
        <item x="115"/>
        <item x="368"/>
        <item x="869"/>
        <item x="432"/>
        <item x="992"/>
        <item x="58"/>
        <item x="387"/>
        <item x="519"/>
        <item x="849"/>
        <item x="914"/>
        <item x="573"/>
        <item x="894"/>
        <item x="650"/>
        <item x="480"/>
        <item x="1123"/>
        <item x="533"/>
        <item x="1184"/>
        <item x="609"/>
        <item x="920"/>
        <item x="53"/>
        <item x="1044"/>
        <item x="714"/>
        <item x="888"/>
        <item x="1065"/>
        <item x="494"/>
        <item x="1005"/>
        <item x="732"/>
        <item x="1109"/>
        <item x="215"/>
        <item x="908"/>
        <item x="745"/>
        <item x="802"/>
        <item x="561"/>
        <item x="172"/>
        <item x="645"/>
        <item x="100"/>
        <item x="1131"/>
        <item x="976"/>
        <item x="912"/>
        <item x="180"/>
        <item x="1030"/>
        <item x="806"/>
        <item x="9"/>
        <item x="457"/>
        <item x="356"/>
        <item x="303"/>
        <item x="177"/>
        <item x="287"/>
        <item x="141"/>
        <item x="428"/>
        <item x="882"/>
        <item x="652"/>
        <item x="1029"/>
        <item x="1166"/>
        <item x="770"/>
        <item x="932"/>
        <item x="735"/>
        <item x="741"/>
        <item x="490"/>
        <item x="1001"/>
        <item x="572"/>
        <item x="1141"/>
        <item x="398"/>
        <item x="712"/>
        <item x="736"/>
        <item x="153"/>
        <item x="1150"/>
        <item x="188"/>
        <item x="669"/>
        <item x="176"/>
        <item x="282"/>
        <item x="1042"/>
        <item x="83"/>
        <item x="199"/>
        <item x="857"/>
        <item x="406"/>
        <item x="308"/>
        <item x="46"/>
        <item x="1022"/>
        <item x="151"/>
        <item x="1036"/>
        <item x="574"/>
        <item x="1194"/>
        <item x="82"/>
        <item x="640"/>
        <item x="89"/>
        <item x="540"/>
        <item x="614"/>
        <item x="34"/>
        <item x="1119"/>
        <item x="837"/>
        <item x="587"/>
        <item x="637"/>
        <item x="962"/>
        <item x="1075"/>
        <item x="725"/>
        <item x="341"/>
        <item x="265"/>
        <item x="489"/>
        <item x="266"/>
        <item x="559"/>
        <item x="72"/>
        <item x="359"/>
        <item x="804"/>
        <item x="687"/>
        <item x="59"/>
        <item x="910"/>
        <item x="620"/>
        <item x="800"/>
        <item x="816"/>
        <item x="173"/>
        <item x="358"/>
        <item x="831"/>
        <item x="797"/>
        <item x="485"/>
        <item x="310"/>
        <item x="990"/>
        <item x="456"/>
        <item x="91"/>
        <item x="566"/>
        <item x="597"/>
        <item x="114"/>
        <item x="4"/>
        <item x="344"/>
        <item x="922"/>
        <item x="557"/>
        <item x="118"/>
        <item x="120"/>
        <item x="548"/>
        <item x="1092"/>
        <item x="606"/>
        <item x="1139"/>
        <item x="499"/>
        <item x="389"/>
        <item x="445"/>
        <item x="281"/>
        <item x="464"/>
        <item x="586"/>
        <item x="983"/>
        <item x="1174"/>
        <item x="1089"/>
        <item x="974"/>
        <item x="706"/>
        <item x="339"/>
        <item x="682"/>
        <item x="822"/>
        <item x="280"/>
        <item x="286"/>
        <item x="780"/>
        <item x="522"/>
        <item x="393"/>
        <item x="960"/>
        <item x="169"/>
        <item x="268"/>
        <item x="693"/>
        <item x="251"/>
        <item x="163"/>
        <item x="32"/>
        <item x="864"/>
        <item x="768"/>
        <item x="607"/>
        <item x="422"/>
        <item x="1071"/>
        <item x="2"/>
        <item x="470"/>
        <item x="1151"/>
        <item x="222"/>
        <item x="1082"/>
        <item x="221"/>
        <item x="1137"/>
        <item x="1148"/>
        <item x="388"/>
        <item x="627"/>
        <item x="997"/>
        <item x="880"/>
        <item x="577"/>
        <item x="0"/>
        <item x="815"/>
        <item x="510"/>
        <item x="913"/>
        <item x="730"/>
        <item x="632"/>
        <item x="491"/>
        <item x="873"/>
        <item x="449"/>
        <item x="240"/>
        <item x="97"/>
        <item x="819"/>
        <item x="10"/>
        <item x="763"/>
        <item x="363"/>
        <item x="1074"/>
        <item x="295"/>
        <item x="964"/>
        <item x="220"/>
        <item x="86"/>
        <item x="954"/>
        <item x="801"/>
        <item x="539"/>
        <item x="886"/>
        <item x="767"/>
        <item x="526"/>
        <item x="836"/>
        <item x="366"/>
        <item x="360"/>
        <item x="462"/>
        <item x="1026"/>
        <item x="1060"/>
        <item x="325"/>
        <item x="107"/>
        <item x="327"/>
        <item x="468"/>
        <item x="631"/>
        <item x="1117"/>
        <item x="788"/>
        <item t="default"/>
      </items>
    </pivotField>
    <pivotField axis="axisRow" showAll="0">
      <items count="6">
        <item x="0"/>
        <item x="1"/>
        <item x="2"/>
        <item x="3"/>
        <item x="4"/>
        <item t="default"/>
      </items>
    </pivotField>
  </pivotFields>
  <rowFields count="1">
    <field x="14"/>
  </rowFields>
  <rowItems count="3">
    <i>
      <x v="1"/>
    </i>
    <i>
      <x v="2"/>
    </i>
    <i>
      <x v="3"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verage Total Price" fld="13" subtotal="average" baseField="14" baseItem="0"/>
    <dataField name="Sum of TotalPrice" fld="13" baseField="0" baseItem="0"/>
    <dataField name="Count of OrderID" fld="0" subtotal="count" baseField="14" baseItem="1"/>
    <dataField name="Average of Quantity" fld="4" subtotal="average" baseField="14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24FDF65-B472-4BF8-B444-E8C70E4BF9A4}" name="Table6" displayName="Table6" ref="A1:H10" totalsRowShown="0">
  <autoFilter ref="A1:H10" xr:uid="{610C3D45-8BB8-4E07-AFDA-588CFF5C047A}"/>
  <tableColumns count="8">
    <tableColumn id="1" xr3:uid="{7FEC9BAF-44DF-4FA6-8C0D-FDFFE1F20813}" name="QUANTITY" dataDxfId="7"/>
    <tableColumn id="2" xr3:uid="{E5795B66-D445-4A1B-B833-4177A5823314}" name="STATISTICS" dataDxfId="6"/>
    <tableColumn id="3" xr3:uid="{2FB30835-68CC-42DA-841A-A381779892B6}" name="UNIT PRICE " dataDxfId="5"/>
    <tableColumn id="4" xr3:uid="{A3C97548-3996-451A-A0ED-795CA90F077E}" name="STATISTICS2" dataDxfId="4"/>
    <tableColumn id="5" xr3:uid="{29F7619A-AA73-4858-A59C-4138CDAB6EC4}" name="ITEMS IN CART" dataDxfId="3"/>
    <tableColumn id="6" xr3:uid="{57D57666-5036-443E-9386-224DAFDC6290}" name="STATISTICS3" dataDxfId="2"/>
    <tableColumn id="7" xr3:uid="{23879779-35BD-4DFC-8C3A-5672ECD0B250}" name="TOTAL PRICE" dataDxfId="1"/>
    <tableColumn id="8" xr3:uid="{9A620B37-9C63-46F1-BFC3-6B2D109E14CB}" name="STATISTICS4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0292F-91F8-4C77-9840-00434FA945EF}">
  <dimension ref="A6:F44"/>
  <sheetViews>
    <sheetView workbookViewId="0">
      <selection activeCell="H9" sqref="H9"/>
    </sheetView>
  </sheetViews>
  <sheetFormatPr defaultRowHeight="15" x14ac:dyDescent="0.25"/>
  <cols>
    <col min="1" max="1" width="11.28515625" bestFit="1" customWidth="1"/>
    <col min="2" max="2" width="17.42578125" customWidth="1"/>
    <col min="3" max="3" width="7.140625" bestFit="1" customWidth="1"/>
    <col min="4" max="4" width="16.5703125" bestFit="1" customWidth="1"/>
    <col min="5" max="5" width="13.7109375" customWidth="1"/>
    <col min="6" max="6" width="19" bestFit="1" customWidth="1"/>
    <col min="7" max="1195" width="16.28515625" bestFit="1" customWidth="1"/>
    <col min="1196" max="1196" width="11.28515625" bestFit="1" customWidth="1"/>
  </cols>
  <sheetData>
    <row r="6" spans="1:6" x14ac:dyDescent="0.25">
      <c r="A6" t="s">
        <v>17</v>
      </c>
      <c r="B6" t="s">
        <v>18</v>
      </c>
      <c r="C6" t="s">
        <v>19</v>
      </c>
      <c r="D6" t="s">
        <v>20</v>
      </c>
      <c r="E6" t="s">
        <v>21</v>
      </c>
    </row>
    <row r="7" spans="1:6" x14ac:dyDescent="0.25">
      <c r="A7" s="3" t="s">
        <v>22</v>
      </c>
      <c r="B7">
        <v>1083.614196078431</v>
      </c>
      <c r="C7">
        <v>552643.23999999976</v>
      </c>
      <c r="D7">
        <v>510</v>
      </c>
      <c r="E7">
        <v>2.9882352941176471</v>
      </c>
    </row>
    <row r="8" spans="1:6" x14ac:dyDescent="0.25">
      <c r="A8" s="3" t="s">
        <v>23</v>
      </c>
      <c r="B8">
        <v>1046.2655119825715</v>
      </c>
      <c r="C8">
        <v>480235.87000000034</v>
      </c>
      <c r="D8">
        <v>459</v>
      </c>
      <c r="E8">
        <v>2.943355119825708</v>
      </c>
    </row>
    <row r="9" spans="1:6" x14ac:dyDescent="0.25">
      <c r="A9" s="3" t="s">
        <v>24</v>
      </c>
      <c r="B9">
        <v>1003.8218614718618</v>
      </c>
      <c r="C9">
        <v>231882.85000000006</v>
      </c>
      <c r="D9">
        <v>231</v>
      </c>
      <c r="E9">
        <v>2.8571428571428572</v>
      </c>
    </row>
    <row r="12" spans="1:6" x14ac:dyDescent="0.25">
      <c r="A12" s="3" t="s">
        <v>25</v>
      </c>
    </row>
    <row r="13" spans="1:6" x14ac:dyDescent="0.25">
      <c r="A13" t="s">
        <v>26</v>
      </c>
      <c r="B13" t="s">
        <v>18</v>
      </c>
      <c r="C13" t="s">
        <v>27</v>
      </c>
      <c r="D13" t="s">
        <v>19</v>
      </c>
      <c r="E13" t="s">
        <v>20</v>
      </c>
      <c r="F13" t="s">
        <v>21</v>
      </c>
    </row>
    <row r="14" spans="1:6" x14ac:dyDescent="0.25">
      <c r="A14" s="3" t="s">
        <v>28</v>
      </c>
      <c r="B14">
        <v>1105.5848399999998</v>
      </c>
      <c r="C14" s="4">
        <v>0.20833333333333334</v>
      </c>
      <c r="D14">
        <v>276396.20999999996</v>
      </c>
      <c r="E14">
        <v>250</v>
      </c>
      <c r="F14">
        <v>3.036</v>
      </c>
    </row>
    <row r="15" spans="1:6" x14ac:dyDescent="0.25">
      <c r="A15" s="3" t="s">
        <v>29</v>
      </c>
      <c r="B15">
        <v>1050.2178354978355</v>
      </c>
      <c r="C15" s="4">
        <v>0.1925</v>
      </c>
      <c r="D15">
        <v>242600.31999999998</v>
      </c>
      <c r="E15">
        <v>231</v>
      </c>
      <c r="F15">
        <v>2.9870129870129869</v>
      </c>
    </row>
    <row r="16" spans="1:6" x14ac:dyDescent="0.25">
      <c r="A16" s="3" t="s">
        <v>30</v>
      </c>
      <c r="B16">
        <v>1081.5533755274262</v>
      </c>
      <c r="C16" s="4">
        <v>0.19750000000000001</v>
      </c>
      <c r="D16">
        <v>256328.15000000002</v>
      </c>
      <c r="E16">
        <v>237</v>
      </c>
      <c r="F16">
        <v>3.0548523206751055</v>
      </c>
    </row>
    <row r="17" spans="1:6" x14ac:dyDescent="0.25">
      <c r="A17" s="3" t="s">
        <v>31</v>
      </c>
      <c r="B17">
        <v>984.9299595141706</v>
      </c>
      <c r="C17" s="4">
        <v>0.20583333333333334</v>
      </c>
      <c r="D17">
        <v>243277.70000000013</v>
      </c>
      <c r="E17">
        <v>247</v>
      </c>
      <c r="F17">
        <v>2.7611336032388665</v>
      </c>
    </row>
    <row r="18" spans="1:6" x14ac:dyDescent="0.25">
      <c r="A18" s="3" t="s">
        <v>32</v>
      </c>
      <c r="B18">
        <v>1047.4875744680846</v>
      </c>
      <c r="C18" s="4">
        <v>0.19583333333333333</v>
      </c>
      <c r="D18">
        <v>246159.57999999987</v>
      </c>
      <c r="E18">
        <v>235</v>
      </c>
      <c r="F18">
        <v>2.8936170212765959</v>
      </c>
    </row>
    <row r="20" spans="1:6" x14ac:dyDescent="0.25">
      <c r="A20" s="3" t="s">
        <v>33</v>
      </c>
    </row>
    <row r="21" spans="1:6" x14ac:dyDescent="0.25">
      <c r="A21" t="s">
        <v>34</v>
      </c>
      <c r="B21" t="s">
        <v>18</v>
      </c>
      <c r="C21" t="s">
        <v>27</v>
      </c>
      <c r="D21" t="s">
        <v>19</v>
      </c>
      <c r="E21" t="s">
        <v>20</v>
      </c>
      <c r="F21" t="s">
        <v>21</v>
      </c>
    </row>
    <row r="22" spans="1:6" x14ac:dyDescent="0.25">
      <c r="A22" s="3" t="s">
        <v>35</v>
      </c>
      <c r="B22">
        <v>1056.0418292682923</v>
      </c>
      <c r="C22" s="4">
        <v>0.20499999999999999</v>
      </c>
      <c r="D22">
        <v>259786.28999999992</v>
      </c>
      <c r="E22">
        <v>246</v>
      </c>
      <c r="F22">
        <v>3.0609756097560976</v>
      </c>
    </row>
    <row r="23" spans="1:6" x14ac:dyDescent="0.25">
      <c r="A23" s="3" t="s">
        <v>36</v>
      </c>
      <c r="B23">
        <v>1127.5539743589738</v>
      </c>
      <c r="C23" s="4">
        <v>0.19500000000000001</v>
      </c>
      <c r="D23">
        <v>263847.62999999989</v>
      </c>
      <c r="E23">
        <v>234</v>
      </c>
      <c r="F23">
        <v>3.0427350427350426</v>
      </c>
    </row>
    <row r="24" spans="1:6" x14ac:dyDescent="0.25">
      <c r="A24" s="3" t="s">
        <v>37</v>
      </c>
      <c r="B24">
        <v>1001.5568103448275</v>
      </c>
      <c r="C24" s="4">
        <v>0.19333333333333333</v>
      </c>
      <c r="D24">
        <v>232361.17999999996</v>
      </c>
      <c r="E24">
        <v>232</v>
      </c>
      <c r="F24">
        <v>2.8620689655172415</v>
      </c>
    </row>
    <row r="25" spans="1:6" x14ac:dyDescent="0.25">
      <c r="A25" s="3" t="s">
        <v>38</v>
      </c>
      <c r="B25">
        <v>1070.9735652173918</v>
      </c>
      <c r="C25" s="4">
        <v>0.19166666666666668</v>
      </c>
      <c r="D25">
        <v>246323.9200000001</v>
      </c>
      <c r="E25">
        <v>230</v>
      </c>
      <c r="F25">
        <v>2.9347826086956523</v>
      </c>
    </row>
    <row r="26" spans="1:6" x14ac:dyDescent="0.25">
      <c r="A26" s="3" t="s">
        <v>39</v>
      </c>
      <c r="B26">
        <v>1017.2206976744191</v>
      </c>
      <c r="C26" s="4">
        <v>0.215</v>
      </c>
      <c r="D26">
        <v>262442.94000000012</v>
      </c>
      <c r="E26">
        <v>258</v>
      </c>
      <c r="F26">
        <v>2.8333333333333335</v>
      </c>
    </row>
    <row r="28" spans="1:6" x14ac:dyDescent="0.25">
      <c r="A28" s="3" t="s">
        <v>40</v>
      </c>
    </row>
    <row r="29" spans="1:6" x14ac:dyDescent="0.25">
      <c r="A29" t="s">
        <v>41</v>
      </c>
      <c r="B29" t="s">
        <v>18</v>
      </c>
      <c r="C29" t="s">
        <v>27</v>
      </c>
      <c r="D29" t="s">
        <v>19</v>
      </c>
      <c r="E29" t="s">
        <v>20</v>
      </c>
      <c r="F29" t="s">
        <v>21</v>
      </c>
    </row>
    <row r="30" spans="1:6" x14ac:dyDescent="0.25">
      <c r="A30" s="3" t="s">
        <v>42</v>
      </c>
      <c r="B30">
        <v>1047.2342000000001</v>
      </c>
      <c r="C30" s="4">
        <v>0.20833333333333334</v>
      </c>
      <c r="D30">
        <v>261808.55000000002</v>
      </c>
      <c r="E30">
        <v>250</v>
      </c>
      <c r="F30">
        <v>2.984</v>
      </c>
    </row>
    <row r="31" spans="1:6" x14ac:dyDescent="0.25">
      <c r="A31" s="3" t="s">
        <v>43</v>
      </c>
      <c r="B31">
        <v>1098.2934210526316</v>
      </c>
      <c r="C31" s="4">
        <v>0.19</v>
      </c>
      <c r="D31">
        <v>250410.9</v>
      </c>
      <c r="E31">
        <v>228</v>
      </c>
      <c r="F31">
        <v>2.9561403508771931</v>
      </c>
    </row>
    <row r="32" spans="1:6" x14ac:dyDescent="0.25">
      <c r="A32" s="3" t="s">
        <v>44</v>
      </c>
      <c r="B32">
        <v>1039.1762655601658</v>
      </c>
      <c r="C32" s="4">
        <v>0.20083333333333334</v>
      </c>
      <c r="D32">
        <v>250441.47999999998</v>
      </c>
      <c r="E32">
        <v>241</v>
      </c>
      <c r="F32">
        <v>2.9626556016597512</v>
      </c>
    </row>
    <row r="33" spans="1:6" x14ac:dyDescent="0.25">
      <c r="A33" s="3" t="s">
        <v>45</v>
      </c>
      <c r="B33">
        <v>1062.8781853281855</v>
      </c>
      <c r="C33" s="4">
        <v>0.21583333333333332</v>
      </c>
      <c r="D33">
        <v>275285.45000000007</v>
      </c>
      <c r="E33">
        <v>259</v>
      </c>
      <c r="F33">
        <v>2.9729729729729728</v>
      </c>
    </row>
    <row r="34" spans="1:6" x14ac:dyDescent="0.25">
      <c r="A34" s="3" t="s">
        <v>46</v>
      </c>
      <c r="B34">
        <v>1021.6918018018014</v>
      </c>
      <c r="C34" s="4">
        <v>0.185</v>
      </c>
      <c r="D34">
        <v>226815.5799999999</v>
      </c>
      <c r="E34">
        <v>222</v>
      </c>
      <c r="F34">
        <v>2.8423423423423424</v>
      </c>
    </row>
    <row r="36" spans="1:6" x14ac:dyDescent="0.25">
      <c r="A36" s="3" t="s">
        <v>47</v>
      </c>
    </row>
    <row r="37" spans="1:6" x14ac:dyDescent="0.25">
      <c r="A37" t="s">
        <v>41</v>
      </c>
      <c r="B37" t="s">
        <v>18</v>
      </c>
      <c r="C37" t="s">
        <v>27</v>
      </c>
      <c r="D37" t="s">
        <v>19</v>
      </c>
      <c r="E37" t="s">
        <v>20</v>
      </c>
      <c r="F37" t="s">
        <v>21</v>
      </c>
    </row>
    <row r="38" spans="1:6" x14ac:dyDescent="0.25">
      <c r="A38" s="3" t="s">
        <v>48</v>
      </c>
      <c r="B38">
        <v>1098.989382022472</v>
      </c>
      <c r="C38" s="4">
        <v>0.14833333333333334</v>
      </c>
      <c r="D38">
        <v>195620.11000000002</v>
      </c>
      <c r="E38">
        <v>178</v>
      </c>
      <c r="F38">
        <v>3.1573033707865168</v>
      </c>
    </row>
    <row r="39" spans="1:6" x14ac:dyDescent="0.25">
      <c r="A39" s="3" t="s">
        <v>49</v>
      </c>
      <c r="B39">
        <v>985.05841176470585</v>
      </c>
      <c r="C39" s="4">
        <v>0.14166666666666666</v>
      </c>
      <c r="D39">
        <v>167459.93</v>
      </c>
      <c r="E39">
        <v>170</v>
      </c>
      <c r="F39">
        <v>2.9882352941176471</v>
      </c>
    </row>
    <row r="40" spans="1:6" x14ac:dyDescent="0.25">
      <c r="A40" s="3" t="s">
        <v>50</v>
      </c>
      <c r="B40">
        <v>1110.558150289017</v>
      </c>
      <c r="C40" s="4">
        <v>0.14416666666666667</v>
      </c>
      <c r="D40">
        <v>192126.55999999994</v>
      </c>
      <c r="E40">
        <v>173</v>
      </c>
      <c r="F40">
        <v>3.0924855491329479</v>
      </c>
    </row>
    <row r="41" spans="1:6" x14ac:dyDescent="0.25">
      <c r="A41" s="3" t="s">
        <v>51</v>
      </c>
      <c r="B41">
        <v>1077.6160122699384</v>
      </c>
      <c r="C41" s="4">
        <v>0.13583333333333333</v>
      </c>
      <c r="D41">
        <v>175651.40999999997</v>
      </c>
      <c r="E41">
        <v>163</v>
      </c>
      <c r="F41">
        <v>2.9447852760736195</v>
      </c>
    </row>
    <row r="42" spans="1:6" x14ac:dyDescent="0.25">
      <c r="A42" s="3" t="s">
        <v>52</v>
      </c>
      <c r="B42">
        <v>972.57942307692315</v>
      </c>
      <c r="C42" s="4">
        <v>0.13</v>
      </c>
      <c r="D42">
        <v>151722.39000000001</v>
      </c>
      <c r="E42">
        <v>156</v>
      </c>
      <c r="F42">
        <v>2.6346153846153846</v>
      </c>
    </row>
    <row r="43" spans="1:6" x14ac:dyDescent="0.25">
      <c r="A43" s="3" t="s">
        <v>53</v>
      </c>
      <c r="B43">
        <v>1080.7326519337014</v>
      </c>
      <c r="C43" s="4">
        <v>0.15083333333333335</v>
      </c>
      <c r="D43">
        <v>195612.60999999996</v>
      </c>
      <c r="E43">
        <v>181</v>
      </c>
      <c r="F43">
        <v>2.9944751381215471</v>
      </c>
    </row>
    <row r="44" spans="1:6" x14ac:dyDescent="0.25">
      <c r="A44" s="3" t="s">
        <v>54</v>
      </c>
      <c r="B44">
        <v>1042.2846368715088</v>
      </c>
      <c r="C44" s="4">
        <v>0.14916666666666667</v>
      </c>
      <c r="D44">
        <v>186568.95000000007</v>
      </c>
      <c r="E44">
        <v>179</v>
      </c>
      <c r="F44">
        <v>2.7765363128491618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1300D-2D14-4DF6-A824-B5389E1844D6}">
  <dimension ref="A1:H12"/>
  <sheetViews>
    <sheetView showGridLines="0" showRowColHeaders="0" tabSelected="1" workbookViewId="0">
      <selection activeCell="H15" sqref="H15"/>
    </sheetView>
  </sheetViews>
  <sheetFormatPr defaultRowHeight="15" x14ac:dyDescent="0.25"/>
  <cols>
    <col min="1" max="1" width="19.28515625" customWidth="1"/>
    <col min="2" max="2" width="12.7109375" customWidth="1"/>
    <col min="3" max="3" width="19.85546875" customWidth="1"/>
    <col min="4" max="4" width="13.7109375" customWidth="1"/>
    <col min="5" max="5" width="20.140625" customWidth="1"/>
    <col min="6" max="6" width="13.7109375" customWidth="1"/>
    <col min="7" max="7" width="17.7109375" customWidth="1"/>
    <col min="8" max="8" width="13.71093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 t="s">
        <v>8</v>
      </c>
      <c r="B2" s="1">
        <f>AVERAGE([1]sheet11!E2:E1201)</f>
        <v>2.9458333333333333</v>
      </c>
      <c r="C2" s="1" t="s">
        <v>8</v>
      </c>
      <c r="D2" s="1">
        <f>AVERAGE([1]sheet11!F2:F1201)</f>
        <v>356.41275000000007</v>
      </c>
      <c r="E2" s="1" t="s">
        <v>8</v>
      </c>
      <c r="F2" s="1">
        <f>AVERAGE([1]sheet11!K2:K1201)</f>
        <v>5.4850000000000003</v>
      </c>
      <c r="G2" s="1" t="s">
        <v>8</v>
      </c>
      <c r="H2" s="1">
        <f>AVERAGE([1]sheet11!N2:N1201)</f>
        <v>1053.9683000000005</v>
      </c>
    </row>
    <row r="3" spans="1:8" x14ac:dyDescent="0.25">
      <c r="A3" s="1" t="s">
        <v>9</v>
      </c>
      <c r="B3" s="1">
        <f>MEDIAN([1]sheet11!E2:E1201)</f>
        <v>3</v>
      </c>
      <c r="C3" s="1" t="s">
        <v>9</v>
      </c>
      <c r="D3" s="1">
        <f>MEDIAN([1]sheet11!F2:F1201)</f>
        <v>364.21</v>
      </c>
      <c r="E3" s="1" t="s">
        <v>9</v>
      </c>
      <c r="F3" s="1">
        <f>MEDIAN([1]sheet11!K2:K1201)</f>
        <v>5</v>
      </c>
      <c r="G3" s="1" t="s">
        <v>9</v>
      </c>
      <c r="H3" s="1">
        <f>MEDIAN([1]sheet11!N2:N1201)</f>
        <v>823.61500000000001</v>
      </c>
    </row>
    <row r="4" spans="1:8" x14ac:dyDescent="0.25">
      <c r="A4" s="1" t="s">
        <v>10</v>
      </c>
      <c r="B4" s="1">
        <f>MODE([1]sheet11!E2:E1201)</f>
        <v>1</v>
      </c>
      <c r="C4" s="1" t="s">
        <v>10</v>
      </c>
      <c r="D4" s="1">
        <f>MODE([1]sheet11!F2:F1201)</f>
        <v>127.18</v>
      </c>
      <c r="E4" s="1" t="s">
        <v>10</v>
      </c>
      <c r="F4" s="1">
        <f>MODE([1]sheet11!K2:K1201)</f>
        <v>5</v>
      </c>
      <c r="G4" s="1" t="s">
        <v>10</v>
      </c>
      <c r="H4" s="1">
        <f>MODE([1]sheet11!N2:N1201)</f>
        <v>635.90000000000009</v>
      </c>
    </row>
    <row r="5" spans="1:8" x14ac:dyDescent="0.25">
      <c r="A5" s="1" t="s">
        <v>11</v>
      </c>
      <c r="B5" s="1">
        <f>_xlfn.STDEV.S([1]sheet11!E2:E1201)</f>
        <v>1.4075570987983175</v>
      </c>
      <c r="C5" s="1" t="s">
        <v>11</v>
      </c>
      <c r="D5" s="1">
        <f>_xlfn.STDEV.S([1]sheet11!F2:F1201)</f>
        <v>197.17714641491236</v>
      </c>
      <c r="E5" s="1" t="s">
        <v>11</v>
      </c>
      <c r="F5" s="1">
        <f>_xlfn.STDEV.S([1]sheet11!K2:K1201)</f>
        <v>2.2819833201028645</v>
      </c>
      <c r="G5" s="1" t="s">
        <v>11</v>
      </c>
      <c r="H5" s="1">
        <f>_xlfn.STDEV.S([1]sheet11!N2:N1201)</f>
        <v>819.85655836464559</v>
      </c>
    </row>
    <row r="6" spans="1:8" x14ac:dyDescent="0.25">
      <c r="A6" s="1" t="s">
        <v>12</v>
      </c>
      <c r="B6" s="1">
        <f>MIN([1]sheet11!E2:E1201)</f>
        <v>1</v>
      </c>
      <c r="C6" s="1" t="s">
        <v>12</v>
      </c>
      <c r="D6" s="1">
        <f>MIN([1]sheet11!F2:F1201)</f>
        <v>11.39</v>
      </c>
      <c r="E6" s="1" t="s">
        <v>12</v>
      </c>
      <c r="F6" s="1">
        <f>MIN([1]sheet11!K2:K1201)</f>
        <v>1</v>
      </c>
      <c r="G6" s="1" t="s">
        <v>12</v>
      </c>
      <c r="H6" s="1">
        <f>MIN([1]sheet11!N2:N1201)</f>
        <v>11.39</v>
      </c>
    </row>
    <row r="7" spans="1:8" x14ac:dyDescent="0.25">
      <c r="A7" s="1" t="s">
        <v>13</v>
      </c>
      <c r="B7" s="1">
        <f>MAX([1]sheet11!E2:E1201)</f>
        <v>5</v>
      </c>
      <c r="C7" s="1" t="s">
        <v>13</v>
      </c>
      <c r="D7" s="1">
        <f>MAX([1]sheet11!F2:F1201)</f>
        <v>699.93</v>
      </c>
      <c r="E7" s="1" t="s">
        <v>13</v>
      </c>
      <c r="F7" s="1">
        <f>MAX([1]sheet11!K2:K1201)</f>
        <v>10</v>
      </c>
      <c r="G7" s="1" t="s">
        <v>13</v>
      </c>
      <c r="H7" s="1">
        <f>MAX([1]sheet11!N2:N1201)</f>
        <v>3456.4</v>
      </c>
    </row>
    <row r="8" spans="1:8" x14ac:dyDescent="0.25">
      <c r="A8" s="1" t="s">
        <v>14</v>
      </c>
      <c r="B8" s="1">
        <f>SUM([1]sheet11!E2:E1201)</f>
        <v>3535</v>
      </c>
      <c r="C8" s="1" t="s">
        <v>14</v>
      </c>
      <c r="D8" s="1">
        <f>SUM([1]sheet11!F2:F1201)</f>
        <v>427695.3000000001</v>
      </c>
      <c r="E8" s="1" t="s">
        <v>14</v>
      </c>
      <c r="F8" s="1">
        <f>SUM([1]sheet11!K2:K1201)</f>
        <v>6582</v>
      </c>
      <c r="G8" s="1" t="s">
        <v>14</v>
      </c>
      <c r="H8" s="1">
        <f>SUM([1]sheet11!N2:N1201)</f>
        <v>1264761.9600000004</v>
      </c>
    </row>
    <row r="9" spans="1:8" x14ac:dyDescent="0.25">
      <c r="A9" s="1" t="s">
        <v>15</v>
      </c>
      <c r="B9" s="1">
        <f>COUNT([1]sheet11!E2:E1201)</f>
        <v>1200</v>
      </c>
      <c r="C9" s="1" t="s">
        <v>15</v>
      </c>
      <c r="D9" s="1">
        <f>COUNT([1]sheet11!F2:F1201)</f>
        <v>1200</v>
      </c>
      <c r="E9" s="1" t="s">
        <v>15</v>
      </c>
      <c r="F9" s="1">
        <f>COUNT([1]sheet11!K2:K1201)</f>
        <v>1200</v>
      </c>
      <c r="G9" s="1" t="s">
        <v>15</v>
      </c>
      <c r="H9" s="1">
        <f>COUNT([1]sheet11!N2:N1201)</f>
        <v>1200</v>
      </c>
    </row>
    <row r="10" spans="1:8" x14ac:dyDescent="0.25">
      <c r="A10" s="1" t="s">
        <v>16</v>
      </c>
      <c r="B10" s="1">
        <f>MAX([1]sheet11!E2:E1201)-MIN([1]sheet11!E2:E1201)</f>
        <v>4</v>
      </c>
      <c r="C10" s="1" t="s">
        <v>16</v>
      </c>
      <c r="D10" s="1">
        <f>MAX([1]sheet11!F2:F1201)-MIN([1]sheet11!F2:F1201)</f>
        <v>688.54</v>
      </c>
      <c r="E10" s="1" t="s">
        <v>16</v>
      </c>
      <c r="F10" s="1">
        <f>MAX([1]sheet11!K2:K1201)-MIN([1]sheet11!K2:K1201)</f>
        <v>9</v>
      </c>
      <c r="G10" s="1" t="s">
        <v>16</v>
      </c>
      <c r="H10" s="1">
        <f>MAX([1]sheet11!N2:N1201)-MIN([1]sheet11!N2:N1201)</f>
        <v>3445.01</v>
      </c>
    </row>
    <row r="12" spans="1:8" x14ac:dyDescent="0.25">
      <c r="A12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Statistics 1</vt:lpstr>
      <vt:lpstr>Statistics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har2ney@gmail.com</dc:creator>
  <cp:lastModifiedBy>har2ney@gmail.com</cp:lastModifiedBy>
  <dcterms:created xsi:type="dcterms:W3CDTF">2026-08-02T19:29:32Z</dcterms:created>
  <dcterms:modified xsi:type="dcterms:W3CDTF">2026-08-02T19:38:17Z</dcterms:modified>
</cp:coreProperties>
</file>